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D:\PERSONAL\PERSONAL DOC\excel\"/>
    </mc:Choice>
  </mc:AlternateContent>
  <xr:revisionPtr revIDLastSave="0" documentId="13_ncr:1_{B16455E4-E170-4E4A-9983-E0821A141C08}" xr6:coauthVersionLast="45" xr6:coauthVersionMax="45" xr10:uidLastSave="{00000000-0000-0000-0000-000000000000}"/>
  <bookViews>
    <workbookView xWindow="-110" yWindow="-110" windowWidth="19420" windowHeight="10560" xr2:uid="{00000000-000D-0000-FFFF-FFFF00000000}"/>
  </bookViews>
  <sheets>
    <sheet name="Sheet1" sheetId="26" r:id="rId1"/>
    <sheet name="Terbilang" sheetId="20" r:id="rId2"/>
    <sheet name="SinCos" sheetId="22" r:id="rId3"/>
    <sheet name="Hypocloid" sheetId="23" r:id="rId4"/>
    <sheet name="3DRotate" sheetId="24" r:id="rId5"/>
    <sheet name="3DRotate (2)" sheetId="25" r:id="rId6"/>
  </sheets>
  <functionGroups builtInGroupCount="19"/>
  <definedNames>
    <definedName name="t">130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16" i="25" l="1"/>
  <c r="AC16" i="25" s="1"/>
  <c r="F53" i="25" l="1"/>
  <c r="AH18" i="25"/>
  <c r="AC18" i="25" s="1"/>
  <c r="AH17" i="25"/>
  <c r="AC17" i="25" s="1"/>
  <c r="E11" i="25"/>
  <c r="E10" i="25"/>
  <c r="D8" i="25"/>
  <c r="D7" i="25"/>
  <c r="C5" i="25"/>
  <c r="C4" i="25"/>
  <c r="B4" i="25"/>
  <c r="E36" i="24"/>
  <c r="D36" i="24"/>
  <c r="C36" i="24"/>
  <c r="H36" i="24" s="1"/>
  <c r="E35" i="24"/>
  <c r="G35" i="24" s="1"/>
  <c r="D35" i="24"/>
  <c r="C35" i="24"/>
  <c r="E34" i="24"/>
  <c r="D34" i="24"/>
  <c r="C34" i="24"/>
  <c r="H34" i="24" s="1"/>
  <c r="H33" i="24"/>
  <c r="E33" i="24"/>
  <c r="D33" i="24"/>
  <c r="C33" i="24"/>
  <c r="G33" i="24" s="1"/>
  <c r="E32" i="24"/>
  <c r="D32" i="24"/>
  <c r="H32" i="24" s="1"/>
  <c r="C32" i="24"/>
  <c r="E31" i="24"/>
  <c r="D31" i="24"/>
  <c r="C31" i="24"/>
  <c r="H31" i="24" s="1"/>
  <c r="H30" i="24"/>
  <c r="G30" i="24"/>
  <c r="E30" i="24"/>
  <c r="D30" i="24"/>
  <c r="C30" i="24"/>
  <c r="E29" i="24"/>
  <c r="D29" i="24"/>
  <c r="C29" i="24"/>
  <c r="H29" i="24" s="1"/>
  <c r="E28" i="24"/>
  <c r="D28" i="24"/>
  <c r="C28" i="24"/>
  <c r="H28" i="24" s="1"/>
  <c r="E27" i="24"/>
  <c r="G27" i="24" s="1"/>
  <c r="D27" i="24"/>
  <c r="C27" i="24"/>
  <c r="E26" i="24"/>
  <c r="D26" i="24"/>
  <c r="C26" i="24"/>
  <c r="H26" i="24" s="1"/>
  <c r="H25" i="24"/>
  <c r="E25" i="24"/>
  <c r="D25" i="24"/>
  <c r="C25" i="24"/>
  <c r="G25" i="24" s="1"/>
  <c r="E24" i="24"/>
  <c r="D24" i="24"/>
  <c r="H24" i="24" s="1"/>
  <c r="C24" i="24"/>
  <c r="E23" i="24"/>
  <c r="D23" i="24"/>
  <c r="C23" i="24"/>
  <c r="H23" i="24" s="1"/>
  <c r="H22" i="24"/>
  <c r="G22" i="24"/>
  <c r="E22" i="24"/>
  <c r="D22" i="24"/>
  <c r="C22" i="24"/>
  <c r="E21" i="24"/>
  <c r="D21" i="24"/>
  <c r="C21" i="24"/>
  <c r="H21" i="24" s="1"/>
  <c r="H18" i="24"/>
  <c r="G18" i="24"/>
  <c r="E17" i="24"/>
  <c r="H17" i="24" s="1"/>
  <c r="E16" i="24"/>
  <c r="G16" i="24" s="1"/>
  <c r="H15" i="24"/>
  <c r="G15" i="24"/>
  <c r="D14" i="24"/>
  <c r="H14" i="24" s="1"/>
  <c r="D13" i="24"/>
  <c r="G13" i="24" s="1"/>
  <c r="H12" i="24"/>
  <c r="G12" i="24"/>
  <c r="C11" i="24"/>
  <c r="H11" i="24" s="1"/>
  <c r="C10" i="24"/>
  <c r="G10" i="24" s="1"/>
  <c r="F7" i="23"/>
  <c r="E7" i="23"/>
  <c r="B4" i="23"/>
  <c r="D8" i="23" s="1"/>
  <c r="D9" i="23" s="1"/>
  <c r="D10" i="23" s="1"/>
  <c r="D11" i="23" s="1"/>
  <c r="D12" i="23" s="1"/>
  <c r="D13" i="23" s="1"/>
  <c r="D14" i="23" s="1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101" i="23" s="1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14" i="23" s="1"/>
  <c r="D115" i="23" s="1"/>
  <c r="D116" i="23" s="1"/>
  <c r="D117" i="23" s="1"/>
  <c r="D118" i="23" s="1"/>
  <c r="D119" i="23" s="1"/>
  <c r="D120" i="23" s="1"/>
  <c r="D121" i="23" s="1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6" i="23" s="1"/>
  <c r="D157" i="23" s="1"/>
  <c r="D158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D235" i="23" s="1"/>
  <c r="D236" i="23" s="1"/>
  <c r="D237" i="23" s="1"/>
  <c r="D238" i="23" s="1"/>
  <c r="D239" i="23" s="1"/>
  <c r="D240" i="23" s="1"/>
  <c r="D241" i="23" s="1"/>
  <c r="D242" i="23" s="1"/>
  <c r="D243" i="23" s="1"/>
  <c r="D244" i="23" s="1"/>
  <c r="D245" i="23" s="1"/>
  <c r="D246" i="23" s="1"/>
  <c r="D247" i="23" s="1"/>
  <c r="D248" i="23" s="1"/>
  <c r="D249" i="23" s="1"/>
  <c r="D250" i="23" s="1"/>
  <c r="D251" i="23" s="1"/>
  <c r="D252" i="23" s="1"/>
  <c r="D253" i="23" s="1"/>
  <c r="D254" i="23" s="1"/>
  <c r="D255" i="23" s="1"/>
  <c r="D256" i="23" s="1"/>
  <c r="D257" i="23" s="1"/>
  <c r="D258" i="23" s="1"/>
  <c r="D259" i="23" s="1"/>
  <c r="D260" i="23" s="1"/>
  <c r="D261" i="23" s="1"/>
  <c r="D262" i="23" s="1"/>
  <c r="D263" i="23" s="1"/>
  <c r="D264" i="23" s="1"/>
  <c r="D265" i="23" s="1"/>
  <c r="D266" i="23" s="1"/>
  <c r="D267" i="23" s="1"/>
  <c r="D268" i="23" s="1"/>
  <c r="D269" i="23" s="1"/>
  <c r="D270" i="23" s="1"/>
  <c r="D271" i="23" s="1"/>
  <c r="D272" i="23" s="1"/>
  <c r="D273" i="23" s="1"/>
  <c r="D274" i="23" s="1"/>
  <c r="D275" i="23" s="1"/>
  <c r="D276" i="23" s="1"/>
  <c r="D277" i="23" s="1"/>
  <c r="D278" i="23" s="1"/>
  <c r="D279" i="23" s="1"/>
  <c r="D280" i="23" s="1"/>
  <c r="D281" i="23" s="1"/>
  <c r="D282" i="23" s="1"/>
  <c r="D283" i="23" s="1"/>
  <c r="D284" i="23" s="1"/>
  <c r="D285" i="23" s="1"/>
  <c r="D286" i="23" s="1"/>
  <c r="D287" i="23" s="1"/>
  <c r="D288" i="23" s="1"/>
  <c r="D289" i="23" s="1"/>
  <c r="D290" i="23" s="1"/>
  <c r="D291" i="23" s="1"/>
  <c r="D292" i="23" s="1"/>
  <c r="D293" i="23" s="1"/>
  <c r="D294" i="23" s="1"/>
  <c r="D295" i="23" s="1"/>
  <c r="D296" i="23" s="1"/>
  <c r="D297" i="23" s="1"/>
  <c r="D298" i="23" s="1"/>
  <c r="D299" i="23" s="1"/>
  <c r="D300" i="23" s="1"/>
  <c r="D301" i="23" s="1"/>
  <c r="D302" i="23" s="1"/>
  <c r="D303" i="23" s="1"/>
  <c r="D304" i="23" s="1"/>
  <c r="D305" i="23" s="1"/>
  <c r="D306" i="23" s="1"/>
  <c r="D307" i="23" s="1"/>
  <c r="D308" i="23" s="1"/>
  <c r="D309" i="23" s="1"/>
  <c r="D310" i="23" s="1"/>
  <c r="D311" i="23" s="1"/>
  <c r="D312" i="23" s="1"/>
  <c r="D313" i="23" s="1"/>
  <c r="D314" i="23" s="1"/>
  <c r="D315" i="23" s="1"/>
  <c r="D316" i="23" s="1"/>
  <c r="D317" i="23" s="1"/>
  <c r="D318" i="23" s="1"/>
  <c r="D319" i="23" s="1"/>
  <c r="D320" i="23" s="1"/>
  <c r="D321" i="23" s="1"/>
  <c r="D322" i="23" s="1"/>
  <c r="D323" i="23" s="1"/>
  <c r="D324" i="23" s="1"/>
  <c r="D325" i="23" s="1"/>
  <c r="D326" i="23" s="1"/>
  <c r="D327" i="23" s="1"/>
  <c r="D328" i="23" s="1"/>
  <c r="D329" i="23" s="1"/>
  <c r="D330" i="23" s="1"/>
  <c r="D331" i="23" s="1"/>
  <c r="D332" i="23" s="1"/>
  <c r="D333" i="23" s="1"/>
  <c r="D334" i="23" s="1"/>
  <c r="D335" i="23" s="1"/>
  <c r="D336" i="23" s="1"/>
  <c r="D337" i="23" s="1"/>
  <c r="D338" i="23" s="1"/>
  <c r="D339" i="23" s="1"/>
  <c r="D340" i="23" s="1"/>
  <c r="D341" i="23" s="1"/>
  <c r="D342" i="23" s="1"/>
  <c r="D343" i="23" s="1"/>
  <c r="D344" i="23" s="1"/>
  <c r="D345" i="23" s="1"/>
  <c r="D346" i="23" s="1"/>
  <c r="D347" i="23" s="1"/>
  <c r="D348" i="23" s="1"/>
  <c r="D349" i="23" s="1"/>
  <c r="D350" i="23" s="1"/>
  <c r="D351" i="23" s="1"/>
  <c r="D352" i="23" s="1"/>
  <c r="D353" i="23" s="1"/>
  <c r="D354" i="23" s="1"/>
  <c r="D355" i="23" s="1"/>
  <c r="D356" i="23" s="1"/>
  <c r="D357" i="23" s="1"/>
  <c r="D358" i="23" s="1"/>
  <c r="D359" i="23" s="1"/>
  <c r="D360" i="23" s="1"/>
  <c r="D361" i="23" s="1"/>
  <c r="D362" i="23" s="1"/>
  <c r="D363" i="23" s="1"/>
  <c r="D364" i="23" s="1"/>
  <c r="D365" i="23" s="1"/>
  <c r="D366" i="23" s="1"/>
  <c r="D367" i="23" s="1"/>
  <c r="D368" i="23" s="1"/>
  <c r="D369" i="23" s="1"/>
  <c r="D370" i="23" s="1"/>
  <c r="D371" i="23" s="1"/>
  <c r="D372" i="23" s="1"/>
  <c r="D373" i="23" s="1"/>
  <c r="D374" i="23" s="1"/>
  <c r="D375" i="23" s="1"/>
  <c r="D376" i="23" s="1"/>
  <c r="D377" i="23" s="1"/>
  <c r="D378" i="23" s="1"/>
  <c r="D379" i="23" s="1"/>
  <c r="D380" i="23" s="1"/>
  <c r="D381" i="23" s="1"/>
  <c r="D382" i="23" s="1"/>
  <c r="D383" i="23" s="1"/>
  <c r="D384" i="23" s="1"/>
  <c r="D385" i="23" s="1"/>
  <c r="D386" i="23" s="1"/>
  <c r="D387" i="23" s="1"/>
  <c r="D388" i="23" s="1"/>
  <c r="D389" i="23" s="1"/>
  <c r="D390" i="23" s="1"/>
  <c r="D391" i="23" s="1"/>
  <c r="D392" i="23" s="1"/>
  <c r="D393" i="23" s="1"/>
  <c r="D394" i="23" s="1"/>
  <c r="D395" i="23" s="1"/>
  <c r="D396" i="23" s="1"/>
  <c r="D397" i="23" s="1"/>
  <c r="D398" i="23" s="1"/>
  <c r="D399" i="23" s="1"/>
  <c r="D400" i="23" s="1"/>
  <c r="D401" i="23" s="1"/>
  <c r="D402" i="23" s="1"/>
  <c r="D403" i="23" s="1"/>
  <c r="D404" i="23" s="1"/>
  <c r="D405" i="23" s="1"/>
  <c r="D406" i="23" s="1"/>
  <c r="D407" i="23" s="1"/>
  <c r="D408" i="23" s="1"/>
  <c r="D409" i="23" s="1"/>
  <c r="D410" i="23" s="1"/>
  <c r="D411" i="23" s="1"/>
  <c r="D412" i="23" s="1"/>
  <c r="D413" i="23" s="1"/>
  <c r="D414" i="23" s="1"/>
  <c r="D415" i="23" s="1"/>
  <c r="D416" i="23" s="1"/>
  <c r="D417" i="23" s="1"/>
  <c r="D418" i="23" s="1"/>
  <c r="D419" i="23" s="1"/>
  <c r="D420" i="23" s="1"/>
  <c r="D421" i="23" s="1"/>
  <c r="D422" i="23" s="1"/>
  <c r="D423" i="23" s="1"/>
  <c r="D424" i="23" s="1"/>
  <c r="D425" i="23" s="1"/>
  <c r="D426" i="23" s="1"/>
  <c r="D427" i="23" s="1"/>
  <c r="D428" i="23" s="1"/>
  <c r="D429" i="23" s="1"/>
  <c r="D430" i="23" s="1"/>
  <c r="D431" i="23" s="1"/>
  <c r="D432" i="23" s="1"/>
  <c r="D433" i="23" s="1"/>
  <c r="D434" i="23" s="1"/>
  <c r="D435" i="23" s="1"/>
  <c r="D436" i="23" s="1"/>
  <c r="D437" i="23" s="1"/>
  <c r="D438" i="23" s="1"/>
  <c r="D439" i="23" s="1"/>
  <c r="D440" i="23" s="1"/>
  <c r="D441" i="23" s="1"/>
  <c r="D442" i="23" s="1"/>
  <c r="D443" i="23" s="1"/>
  <c r="D444" i="23" s="1"/>
  <c r="D445" i="23" s="1"/>
  <c r="D446" i="23" s="1"/>
  <c r="D447" i="23" s="1"/>
  <c r="D448" i="23" s="1"/>
  <c r="D449" i="23" s="1"/>
  <c r="D450" i="23" s="1"/>
  <c r="D451" i="23" s="1"/>
  <c r="D452" i="23" s="1"/>
  <c r="D453" i="23" s="1"/>
  <c r="D454" i="23" s="1"/>
  <c r="D455" i="23" s="1"/>
  <c r="D456" i="23" s="1"/>
  <c r="D457" i="23" s="1"/>
  <c r="D458" i="23" s="1"/>
  <c r="D459" i="23" s="1"/>
  <c r="D460" i="23" s="1"/>
  <c r="D461" i="23" s="1"/>
  <c r="D462" i="23" s="1"/>
  <c r="D463" i="23" s="1"/>
  <c r="D464" i="23" s="1"/>
  <c r="D465" i="23" s="1"/>
  <c r="D466" i="23" s="1"/>
  <c r="D467" i="23" s="1"/>
  <c r="D468" i="23" s="1"/>
  <c r="D469" i="23" s="1"/>
  <c r="D470" i="23" s="1"/>
  <c r="D471" i="23" s="1"/>
  <c r="D472" i="23" s="1"/>
  <c r="D473" i="23" s="1"/>
  <c r="D474" i="23" s="1"/>
  <c r="D475" i="23" s="1"/>
  <c r="D476" i="23" s="1"/>
  <c r="D477" i="23" s="1"/>
  <c r="D478" i="23" s="1"/>
  <c r="D479" i="23" s="1"/>
  <c r="D480" i="23" s="1"/>
  <c r="D481" i="23" s="1"/>
  <c r="D482" i="23" s="1"/>
  <c r="D483" i="23" s="1"/>
  <c r="D484" i="23" s="1"/>
  <c r="D485" i="23" s="1"/>
  <c r="D486" i="23" s="1"/>
  <c r="D487" i="23" s="1"/>
  <c r="D488" i="23" s="1"/>
  <c r="D489" i="23" s="1"/>
  <c r="D490" i="23" s="1"/>
  <c r="D491" i="23" s="1"/>
  <c r="D492" i="23" s="1"/>
  <c r="D493" i="23" s="1"/>
  <c r="D494" i="23" s="1"/>
  <c r="D495" i="23" s="1"/>
  <c r="D496" i="23" s="1"/>
  <c r="D497" i="23" s="1"/>
  <c r="D498" i="23" s="1"/>
  <c r="D499" i="23" s="1"/>
  <c r="D500" i="23" s="1"/>
  <c r="D501" i="23" s="1"/>
  <c r="D502" i="23" s="1"/>
  <c r="D503" i="23" s="1"/>
  <c r="D504" i="23" s="1"/>
  <c r="D505" i="23" s="1"/>
  <c r="D506" i="23" s="1"/>
  <c r="D507" i="23" s="1"/>
  <c r="D508" i="23" s="1"/>
  <c r="D509" i="23" s="1"/>
  <c r="D510" i="23" s="1"/>
  <c r="D511" i="23" s="1"/>
  <c r="D512" i="23" s="1"/>
  <c r="D513" i="23" s="1"/>
  <c r="D514" i="23" s="1"/>
  <c r="D515" i="23" s="1"/>
  <c r="D516" i="23" s="1"/>
  <c r="D517" i="23" s="1"/>
  <c r="D518" i="23" s="1"/>
  <c r="D519" i="23" s="1"/>
  <c r="D520" i="23" s="1"/>
  <c r="D521" i="23" s="1"/>
  <c r="D522" i="23" s="1"/>
  <c r="D523" i="23" s="1"/>
  <c r="D524" i="23" s="1"/>
  <c r="D525" i="23" s="1"/>
  <c r="D526" i="23" s="1"/>
  <c r="D527" i="23" s="1"/>
  <c r="D528" i="23" s="1"/>
  <c r="D529" i="23" s="1"/>
  <c r="D530" i="23" s="1"/>
  <c r="D531" i="23" s="1"/>
  <c r="D532" i="23" s="1"/>
  <c r="D533" i="23" s="1"/>
  <c r="D534" i="23" s="1"/>
  <c r="D535" i="23" s="1"/>
  <c r="D536" i="23" s="1"/>
  <c r="D537" i="23" s="1"/>
  <c r="D538" i="23" s="1"/>
  <c r="D539" i="23" s="1"/>
  <c r="D540" i="23" s="1"/>
  <c r="D541" i="23" s="1"/>
  <c r="D542" i="23" s="1"/>
  <c r="D543" i="23" s="1"/>
  <c r="D544" i="23" s="1"/>
  <c r="D545" i="23" s="1"/>
  <c r="D546" i="23" s="1"/>
  <c r="D547" i="23" s="1"/>
  <c r="D548" i="23" s="1"/>
  <c r="D549" i="23" s="1"/>
  <c r="D550" i="23" s="1"/>
  <c r="D551" i="23" s="1"/>
  <c r="D552" i="23" s="1"/>
  <c r="D553" i="23" s="1"/>
  <c r="D554" i="23" s="1"/>
  <c r="D555" i="23" s="1"/>
  <c r="D556" i="23" s="1"/>
  <c r="D557" i="23" s="1"/>
  <c r="D558" i="23" s="1"/>
  <c r="D559" i="23" s="1"/>
  <c r="D560" i="23" s="1"/>
  <c r="D561" i="23" s="1"/>
  <c r="D562" i="23" s="1"/>
  <c r="D563" i="23" s="1"/>
  <c r="D564" i="23" s="1"/>
  <c r="D565" i="23" s="1"/>
  <c r="D566" i="23" s="1"/>
  <c r="D567" i="23" s="1"/>
  <c r="D568" i="23" s="1"/>
  <c r="D569" i="23" s="1"/>
  <c r="D570" i="23" s="1"/>
  <c r="D571" i="23" s="1"/>
  <c r="D572" i="23" s="1"/>
  <c r="D573" i="23" s="1"/>
  <c r="D574" i="23" s="1"/>
  <c r="D575" i="23" s="1"/>
  <c r="D576" i="23" s="1"/>
  <c r="D577" i="23" s="1"/>
  <c r="D578" i="23" s="1"/>
  <c r="D579" i="23" s="1"/>
  <c r="D580" i="23" s="1"/>
  <c r="D581" i="23" s="1"/>
  <c r="D582" i="23" s="1"/>
  <c r="D583" i="23" s="1"/>
  <c r="D584" i="23" s="1"/>
  <c r="D585" i="23" s="1"/>
  <c r="D586" i="23" s="1"/>
  <c r="D587" i="23" s="1"/>
  <c r="D588" i="23" s="1"/>
  <c r="D589" i="23" s="1"/>
  <c r="D590" i="23" s="1"/>
  <c r="D591" i="23" s="1"/>
  <c r="D592" i="23" s="1"/>
  <c r="D593" i="23" s="1"/>
  <c r="D594" i="23" s="1"/>
  <c r="D595" i="23" s="1"/>
  <c r="D596" i="23" s="1"/>
  <c r="D597" i="23" s="1"/>
  <c r="D598" i="23" s="1"/>
  <c r="D599" i="23" s="1"/>
  <c r="D600" i="23" s="1"/>
  <c r="D601" i="23" s="1"/>
  <c r="D602" i="23" s="1"/>
  <c r="D603" i="23" s="1"/>
  <c r="D604" i="23" s="1"/>
  <c r="D605" i="23" s="1"/>
  <c r="D606" i="23" s="1"/>
  <c r="D607" i="23" s="1"/>
  <c r="D608" i="23" s="1"/>
  <c r="D609" i="23" s="1"/>
  <c r="D610" i="23" s="1"/>
  <c r="D611" i="23" s="1"/>
  <c r="D612" i="23" s="1"/>
  <c r="D613" i="23" s="1"/>
  <c r="D614" i="23" s="1"/>
  <c r="D615" i="23" s="1"/>
  <c r="D616" i="23" s="1"/>
  <c r="D617" i="23" s="1"/>
  <c r="D618" i="23" s="1"/>
  <c r="D619" i="23" s="1"/>
  <c r="D620" i="23" s="1"/>
  <c r="D621" i="23" s="1"/>
  <c r="D622" i="23" s="1"/>
  <c r="D623" i="23" s="1"/>
  <c r="D624" i="23" s="1"/>
  <c r="D625" i="23" s="1"/>
  <c r="D626" i="23" s="1"/>
  <c r="D627" i="23" s="1"/>
  <c r="D628" i="23" s="1"/>
  <c r="D629" i="23" s="1"/>
  <c r="D630" i="23" s="1"/>
  <c r="D631" i="23" s="1"/>
  <c r="D632" i="23" s="1"/>
  <c r="D633" i="23" s="1"/>
  <c r="D634" i="23" s="1"/>
  <c r="D635" i="23" s="1"/>
  <c r="D636" i="23" s="1"/>
  <c r="D637" i="23" s="1"/>
  <c r="D638" i="23" s="1"/>
  <c r="D639" i="23" s="1"/>
  <c r="D640" i="23" s="1"/>
  <c r="D641" i="23" s="1"/>
  <c r="D642" i="23" s="1"/>
  <c r="D643" i="23" s="1"/>
  <c r="D644" i="23" s="1"/>
  <c r="D645" i="23" s="1"/>
  <c r="D646" i="23" s="1"/>
  <c r="D647" i="23" s="1"/>
  <c r="D648" i="23" s="1"/>
  <c r="D649" i="23" s="1"/>
  <c r="D650" i="23" s="1"/>
  <c r="D651" i="23" s="1"/>
  <c r="D652" i="23" s="1"/>
  <c r="D653" i="23" s="1"/>
  <c r="D654" i="23" s="1"/>
  <c r="D655" i="23" s="1"/>
  <c r="D656" i="23" s="1"/>
  <c r="D657" i="23" s="1"/>
  <c r="D658" i="23" s="1"/>
  <c r="D659" i="23" s="1"/>
  <c r="D660" i="23" s="1"/>
  <c r="D661" i="23" s="1"/>
  <c r="D662" i="23" s="1"/>
  <c r="D663" i="23" s="1"/>
  <c r="D664" i="23" s="1"/>
  <c r="D665" i="23" s="1"/>
  <c r="D666" i="23" s="1"/>
  <c r="D667" i="23" s="1"/>
  <c r="D668" i="23" s="1"/>
  <c r="D669" i="23" s="1"/>
  <c r="D670" i="23" s="1"/>
  <c r="D671" i="23" s="1"/>
  <c r="D672" i="23" s="1"/>
  <c r="D673" i="23" s="1"/>
  <c r="D674" i="23" s="1"/>
  <c r="D675" i="23" s="1"/>
  <c r="D676" i="23" s="1"/>
  <c r="D677" i="23" s="1"/>
  <c r="D678" i="23" s="1"/>
  <c r="D679" i="23" s="1"/>
  <c r="D680" i="23" s="1"/>
  <c r="D681" i="23" s="1"/>
  <c r="D682" i="23" s="1"/>
  <c r="D683" i="23" s="1"/>
  <c r="D684" i="23" s="1"/>
  <c r="D685" i="23" s="1"/>
  <c r="D686" i="23" s="1"/>
  <c r="D687" i="23" s="1"/>
  <c r="D688" i="23" s="1"/>
  <c r="D689" i="23" s="1"/>
  <c r="D690" i="23" s="1"/>
  <c r="D691" i="23" s="1"/>
  <c r="D692" i="23" s="1"/>
  <c r="D693" i="23" s="1"/>
  <c r="D694" i="23" s="1"/>
  <c r="D695" i="23" s="1"/>
  <c r="D696" i="23" s="1"/>
  <c r="D697" i="23" s="1"/>
  <c r="D698" i="23" s="1"/>
  <c r="D699" i="23" s="1"/>
  <c r="D700" i="23" s="1"/>
  <c r="D701" i="23" s="1"/>
  <c r="D702" i="23" s="1"/>
  <c r="D703" i="23" s="1"/>
  <c r="D704" i="23" s="1"/>
  <c r="D705" i="23" s="1"/>
  <c r="D706" i="23" s="1"/>
  <c r="B3" i="23"/>
  <c r="C8" i="23" s="1"/>
  <c r="C9" i="23" s="1"/>
  <c r="C10" i="23" s="1"/>
  <c r="C11" i="23" s="1"/>
  <c r="C12" i="23" s="1"/>
  <c r="C13" i="23" s="1"/>
  <c r="C14" i="23" s="1"/>
  <c r="C15" i="23" s="1"/>
  <c r="C16" i="23" s="1"/>
  <c r="C17" i="23" s="1"/>
  <c r="C18" i="23" s="1"/>
  <c r="C19" i="23" s="1"/>
  <c r="C20" i="23" s="1"/>
  <c r="C21" i="23" s="1"/>
  <c r="C22" i="23" s="1"/>
  <c r="C23" i="23" s="1"/>
  <c r="C24" i="23" s="1"/>
  <c r="C25" i="23" s="1"/>
  <c r="C26" i="23" s="1"/>
  <c r="C27" i="23" s="1"/>
  <c r="C28" i="23" s="1"/>
  <c r="C29" i="23" s="1"/>
  <c r="C30" i="23" s="1"/>
  <c r="C31" i="23" s="1"/>
  <c r="C32" i="23" s="1"/>
  <c r="C33" i="23" s="1"/>
  <c r="C34" i="23" s="1"/>
  <c r="C35" i="23" s="1"/>
  <c r="C36" i="23" s="1"/>
  <c r="C37" i="23" s="1"/>
  <c r="C38" i="23" s="1"/>
  <c r="C39" i="23" s="1"/>
  <c r="C40" i="23" s="1"/>
  <c r="C41" i="23" s="1"/>
  <c r="C42" i="23" s="1"/>
  <c r="C43" i="23" s="1"/>
  <c r="C44" i="23" s="1"/>
  <c r="C45" i="23" s="1"/>
  <c r="C46" i="23" s="1"/>
  <c r="C47" i="23" s="1"/>
  <c r="C48" i="23" s="1"/>
  <c r="C49" i="23" s="1"/>
  <c r="C50" i="23" s="1"/>
  <c r="C51" i="23" s="1"/>
  <c r="C52" i="23" s="1"/>
  <c r="C53" i="23" s="1"/>
  <c r="C54" i="23" s="1"/>
  <c r="C55" i="23" s="1"/>
  <c r="C56" i="23" s="1"/>
  <c r="C57" i="23" s="1"/>
  <c r="C58" i="23" s="1"/>
  <c r="C59" i="23" s="1"/>
  <c r="C60" i="23" s="1"/>
  <c r="C61" i="23" s="1"/>
  <c r="C62" i="23" s="1"/>
  <c r="C63" i="23" s="1"/>
  <c r="C64" i="23" s="1"/>
  <c r="C65" i="23" s="1"/>
  <c r="C66" i="23" s="1"/>
  <c r="C67" i="23" s="1"/>
  <c r="C68" i="23" s="1"/>
  <c r="C69" i="23" s="1"/>
  <c r="C70" i="23" s="1"/>
  <c r="C71" i="23" s="1"/>
  <c r="C72" i="23" s="1"/>
  <c r="C73" i="23" s="1"/>
  <c r="C74" i="23" s="1"/>
  <c r="C75" i="23" s="1"/>
  <c r="C76" i="23" s="1"/>
  <c r="C77" i="23" s="1"/>
  <c r="C78" i="23" s="1"/>
  <c r="C79" i="23" s="1"/>
  <c r="C80" i="23" s="1"/>
  <c r="C81" i="23" s="1"/>
  <c r="C82" i="23" s="1"/>
  <c r="C83" i="23" s="1"/>
  <c r="C84" i="23" s="1"/>
  <c r="C85" i="23" s="1"/>
  <c r="C86" i="23" s="1"/>
  <c r="C87" i="23" s="1"/>
  <c r="C88" i="23" s="1"/>
  <c r="C89" i="23" s="1"/>
  <c r="C90" i="23" s="1"/>
  <c r="C91" i="23" s="1"/>
  <c r="C92" i="23" s="1"/>
  <c r="C93" i="23" s="1"/>
  <c r="C94" i="23" s="1"/>
  <c r="C95" i="23" s="1"/>
  <c r="C96" i="23" s="1"/>
  <c r="C97" i="23" s="1"/>
  <c r="C98" i="23" s="1"/>
  <c r="C99" i="23" s="1"/>
  <c r="C100" i="23" s="1"/>
  <c r="C101" i="23" s="1"/>
  <c r="C102" i="23" s="1"/>
  <c r="C103" i="23" s="1"/>
  <c r="C104" i="23" s="1"/>
  <c r="C105" i="23" s="1"/>
  <c r="C106" i="23" s="1"/>
  <c r="C107" i="23" s="1"/>
  <c r="C108" i="23" s="1"/>
  <c r="C109" i="23" s="1"/>
  <c r="C110" i="23" s="1"/>
  <c r="C111" i="23" s="1"/>
  <c r="C112" i="23" s="1"/>
  <c r="C113" i="23" s="1"/>
  <c r="C114" i="23" s="1"/>
  <c r="C115" i="23" s="1"/>
  <c r="C116" i="23" s="1"/>
  <c r="C117" i="23" s="1"/>
  <c r="C118" i="23" s="1"/>
  <c r="C119" i="23" s="1"/>
  <c r="C120" i="23" s="1"/>
  <c r="C121" i="23" s="1"/>
  <c r="C122" i="23" s="1"/>
  <c r="C123" i="23" s="1"/>
  <c r="C124" i="23" s="1"/>
  <c r="C125" i="23" s="1"/>
  <c r="C126" i="23" s="1"/>
  <c r="C127" i="23" s="1"/>
  <c r="C128" i="23" s="1"/>
  <c r="C129" i="23" s="1"/>
  <c r="C130" i="23" s="1"/>
  <c r="C131" i="23" s="1"/>
  <c r="C132" i="23" s="1"/>
  <c r="C133" i="23" s="1"/>
  <c r="C134" i="23" s="1"/>
  <c r="C135" i="23" s="1"/>
  <c r="C136" i="23" s="1"/>
  <c r="C137" i="23" s="1"/>
  <c r="C138" i="23" s="1"/>
  <c r="C139" i="23" s="1"/>
  <c r="C140" i="23" s="1"/>
  <c r="C141" i="23" s="1"/>
  <c r="C142" i="23" s="1"/>
  <c r="C143" i="23" s="1"/>
  <c r="C144" i="23" s="1"/>
  <c r="C145" i="23" s="1"/>
  <c r="C146" i="23" s="1"/>
  <c r="C147" i="23" s="1"/>
  <c r="C148" i="23" s="1"/>
  <c r="C149" i="23" s="1"/>
  <c r="C150" i="23" s="1"/>
  <c r="C151" i="23" s="1"/>
  <c r="C152" i="23" s="1"/>
  <c r="C153" i="23" s="1"/>
  <c r="C154" i="23" s="1"/>
  <c r="C155" i="23" s="1"/>
  <c r="C156" i="23" s="1"/>
  <c r="C157" i="23" s="1"/>
  <c r="C158" i="23" s="1"/>
  <c r="C159" i="23" s="1"/>
  <c r="C160" i="23" s="1"/>
  <c r="C161" i="23" s="1"/>
  <c r="C162" i="23" s="1"/>
  <c r="C163" i="23" s="1"/>
  <c r="C164" i="23" s="1"/>
  <c r="C165" i="23" s="1"/>
  <c r="C166" i="23" s="1"/>
  <c r="C167" i="23" s="1"/>
  <c r="C168" i="23" s="1"/>
  <c r="C169" i="23" s="1"/>
  <c r="C170" i="23" s="1"/>
  <c r="C171" i="23" s="1"/>
  <c r="C172" i="23" s="1"/>
  <c r="C173" i="23" s="1"/>
  <c r="C174" i="23" s="1"/>
  <c r="C175" i="23" s="1"/>
  <c r="C176" i="23" s="1"/>
  <c r="C177" i="23" s="1"/>
  <c r="C178" i="23" s="1"/>
  <c r="C179" i="23" s="1"/>
  <c r="C180" i="23" s="1"/>
  <c r="C181" i="23" s="1"/>
  <c r="C182" i="23" s="1"/>
  <c r="C183" i="23" s="1"/>
  <c r="C184" i="23" s="1"/>
  <c r="C185" i="23" s="1"/>
  <c r="C186" i="23" s="1"/>
  <c r="C187" i="23" s="1"/>
  <c r="C188" i="23" s="1"/>
  <c r="C189" i="23" s="1"/>
  <c r="C190" i="23" s="1"/>
  <c r="C191" i="23" s="1"/>
  <c r="C192" i="23" s="1"/>
  <c r="C193" i="23" s="1"/>
  <c r="C194" i="23" s="1"/>
  <c r="C195" i="23" s="1"/>
  <c r="C196" i="23" s="1"/>
  <c r="C197" i="23" s="1"/>
  <c r="C198" i="23" s="1"/>
  <c r="C199" i="23" s="1"/>
  <c r="C200" i="23" s="1"/>
  <c r="C201" i="23" s="1"/>
  <c r="C202" i="23" s="1"/>
  <c r="C203" i="23" s="1"/>
  <c r="C204" i="23" s="1"/>
  <c r="C205" i="23" s="1"/>
  <c r="C206" i="23" s="1"/>
  <c r="C207" i="23" s="1"/>
  <c r="C208" i="23" s="1"/>
  <c r="C209" i="23" s="1"/>
  <c r="C210" i="23" s="1"/>
  <c r="C211" i="23" s="1"/>
  <c r="C212" i="23" s="1"/>
  <c r="C213" i="23" s="1"/>
  <c r="C214" i="23" s="1"/>
  <c r="C215" i="23" s="1"/>
  <c r="C216" i="23" s="1"/>
  <c r="C217" i="23" s="1"/>
  <c r="C218" i="23" s="1"/>
  <c r="C219" i="23" s="1"/>
  <c r="C220" i="23" s="1"/>
  <c r="C221" i="23" s="1"/>
  <c r="C222" i="23" s="1"/>
  <c r="C223" i="23" s="1"/>
  <c r="C224" i="23" s="1"/>
  <c r="C225" i="23" s="1"/>
  <c r="C226" i="23" s="1"/>
  <c r="C227" i="23" s="1"/>
  <c r="C228" i="23" s="1"/>
  <c r="C229" i="23" s="1"/>
  <c r="C230" i="23" s="1"/>
  <c r="C231" i="23" s="1"/>
  <c r="C232" i="23" s="1"/>
  <c r="C233" i="23" s="1"/>
  <c r="C234" i="23" s="1"/>
  <c r="C235" i="23" s="1"/>
  <c r="C236" i="23" s="1"/>
  <c r="C237" i="23" s="1"/>
  <c r="C238" i="23" s="1"/>
  <c r="C239" i="23" s="1"/>
  <c r="C240" i="23" s="1"/>
  <c r="C241" i="23" s="1"/>
  <c r="C242" i="23" s="1"/>
  <c r="C243" i="23" s="1"/>
  <c r="C244" i="23" s="1"/>
  <c r="C245" i="23" s="1"/>
  <c r="C246" i="23" s="1"/>
  <c r="C247" i="23" s="1"/>
  <c r="C248" i="23" s="1"/>
  <c r="C249" i="23" s="1"/>
  <c r="C250" i="23" s="1"/>
  <c r="C251" i="23" s="1"/>
  <c r="C252" i="23" s="1"/>
  <c r="C253" i="23" s="1"/>
  <c r="C254" i="23" s="1"/>
  <c r="C255" i="23" s="1"/>
  <c r="C256" i="23" s="1"/>
  <c r="C257" i="23" s="1"/>
  <c r="C258" i="23" s="1"/>
  <c r="C259" i="23" s="1"/>
  <c r="C260" i="23" s="1"/>
  <c r="C261" i="23" s="1"/>
  <c r="C262" i="23" s="1"/>
  <c r="C263" i="23" s="1"/>
  <c r="C264" i="23" s="1"/>
  <c r="C265" i="23" s="1"/>
  <c r="C266" i="23" s="1"/>
  <c r="C267" i="23" s="1"/>
  <c r="C268" i="23" s="1"/>
  <c r="C269" i="23" s="1"/>
  <c r="C270" i="23" s="1"/>
  <c r="C271" i="23" s="1"/>
  <c r="C272" i="23" s="1"/>
  <c r="C273" i="23" s="1"/>
  <c r="C274" i="23" s="1"/>
  <c r="C275" i="23" s="1"/>
  <c r="C276" i="23" s="1"/>
  <c r="C277" i="23" s="1"/>
  <c r="C278" i="23" s="1"/>
  <c r="C279" i="23" s="1"/>
  <c r="C280" i="23" s="1"/>
  <c r="C281" i="23" s="1"/>
  <c r="C282" i="23" s="1"/>
  <c r="C283" i="23" s="1"/>
  <c r="C284" i="23" s="1"/>
  <c r="C285" i="23" s="1"/>
  <c r="C286" i="23" s="1"/>
  <c r="C287" i="23" s="1"/>
  <c r="C288" i="23" s="1"/>
  <c r="C289" i="23" s="1"/>
  <c r="C290" i="23" s="1"/>
  <c r="C291" i="23" s="1"/>
  <c r="C292" i="23" s="1"/>
  <c r="C293" i="23" s="1"/>
  <c r="C294" i="23" s="1"/>
  <c r="C295" i="23" s="1"/>
  <c r="C296" i="23" s="1"/>
  <c r="C297" i="23" s="1"/>
  <c r="C298" i="23" s="1"/>
  <c r="C299" i="23" s="1"/>
  <c r="C300" i="23" s="1"/>
  <c r="C301" i="23" s="1"/>
  <c r="C302" i="23" s="1"/>
  <c r="C303" i="23" s="1"/>
  <c r="C304" i="23" s="1"/>
  <c r="C305" i="23" s="1"/>
  <c r="C306" i="23" s="1"/>
  <c r="C307" i="23" s="1"/>
  <c r="C308" i="23" s="1"/>
  <c r="C309" i="23" s="1"/>
  <c r="C310" i="23" s="1"/>
  <c r="C311" i="23" s="1"/>
  <c r="C312" i="23" s="1"/>
  <c r="C313" i="23" s="1"/>
  <c r="C314" i="23" s="1"/>
  <c r="C315" i="23" s="1"/>
  <c r="C316" i="23" s="1"/>
  <c r="C317" i="23" s="1"/>
  <c r="C318" i="23" s="1"/>
  <c r="C319" i="23" s="1"/>
  <c r="C320" i="23" s="1"/>
  <c r="C321" i="23" s="1"/>
  <c r="C322" i="23" s="1"/>
  <c r="C323" i="23" s="1"/>
  <c r="C324" i="23" s="1"/>
  <c r="C325" i="23" s="1"/>
  <c r="C326" i="23" s="1"/>
  <c r="C327" i="23" s="1"/>
  <c r="C328" i="23" s="1"/>
  <c r="C329" i="23" s="1"/>
  <c r="C330" i="23" s="1"/>
  <c r="C331" i="23" s="1"/>
  <c r="C332" i="23" s="1"/>
  <c r="C333" i="23" s="1"/>
  <c r="C334" i="23" s="1"/>
  <c r="C335" i="23" s="1"/>
  <c r="C336" i="23" s="1"/>
  <c r="C337" i="23" s="1"/>
  <c r="C338" i="23" s="1"/>
  <c r="C339" i="23" s="1"/>
  <c r="C340" i="23" s="1"/>
  <c r="C341" i="23" s="1"/>
  <c r="C342" i="23" s="1"/>
  <c r="C343" i="23" s="1"/>
  <c r="C344" i="23" s="1"/>
  <c r="C345" i="23" s="1"/>
  <c r="C346" i="23" s="1"/>
  <c r="C347" i="23" s="1"/>
  <c r="C348" i="23" s="1"/>
  <c r="C349" i="23" s="1"/>
  <c r="C350" i="23" s="1"/>
  <c r="C351" i="23" s="1"/>
  <c r="C352" i="23" s="1"/>
  <c r="C353" i="23" s="1"/>
  <c r="C354" i="23" s="1"/>
  <c r="C355" i="23" s="1"/>
  <c r="C356" i="23" s="1"/>
  <c r="C357" i="23" s="1"/>
  <c r="C358" i="23" s="1"/>
  <c r="C359" i="23" s="1"/>
  <c r="C360" i="23" s="1"/>
  <c r="C361" i="23" s="1"/>
  <c r="C362" i="23" s="1"/>
  <c r="C363" i="23" s="1"/>
  <c r="C364" i="23" s="1"/>
  <c r="C365" i="23" s="1"/>
  <c r="C366" i="23" s="1"/>
  <c r="C367" i="23" s="1"/>
  <c r="C368" i="23" s="1"/>
  <c r="C369" i="23" s="1"/>
  <c r="C370" i="23" s="1"/>
  <c r="C371" i="23" s="1"/>
  <c r="C372" i="23" s="1"/>
  <c r="C373" i="23" s="1"/>
  <c r="C374" i="23" s="1"/>
  <c r="C375" i="23" s="1"/>
  <c r="C376" i="23" s="1"/>
  <c r="C377" i="23" s="1"/>
  <c r="C378" i="23" s="1"/>
  <c r="C379" i="23" s="1"/>
  <c r="C380" i="23" s="1"/>
  <c r="C381" i="23" s="1"/>
  <c r="C382" i="23" s="1"/>
  <c r="C383" i="23" s="1"/>
  <c r="C384" i="23" s="1"/>
  <c r="C385" i="23" s="1"/>
  <c r="C386" i="23" s="1"/>
  <c r="C387" i="23" s="1"/>
  <c r="C388" i="23" s="1"/>
  <c r="C389" i="23" s="1"/>
  <c r="C390" i="23" s="1"/>
  <c r="C391" i="23" s="1"/>
  <c r="C392" i="23" s="1"/>
  <c r="C393" i="23" s="1"/>
  <c r="C394" i="23" s="1"/>
  <c r="C395" i="23" s="1"/>
  <c r="C396" i="23" s="1"/>
  <c r="C397" i="23" s="1"/>
  <c r="C398" i="23" s="1"/>
  <c r="C399" i="23" s="1"/>
  <c r="C400" i="23" s="1"/>
  <c r="C401" i="23" s="1"/>
  <c r="C402" i="23" s="1"/>
  <c r="C403" i="23" s="1"/>
  <c r="C404" i="23" s="1"/>
  <c r="C405" i="23" s="1"/>
  <c r="C406" i="23" s="1"/>
  <c r="C407" i="23" s="1"/>
  <c r="C408" i="23" s="1"/>
  <c r="C409" i="23" s="1"/>
  <c r="C410" i="23" s="1"/>
  <c r="C411" i="23" s="1"/>
  <c r="C412" i="23" s="1"/>
  <c r="C413" i="23" s="1"/>
  <c r="C414" i="23" s="1"/>
  <c r="C415" i="23" s="1"/>
  <c r="C416" i="23" s="1"/>
  <c r="C417" i="23" s="1"/>
  <c r="C418" i="23" s="1"/>
  <c r="C419" i="23" s="1"/>
  <c r="C420" i="23" s="1"/>
  <c r="C421" i="23" s="1"/>
  <c r="C422" i="23" s="1"/>
  <c r="C423" i="23" s="1"/>
  <c r="C424" i="23" s="1"/>
  <c r="C425" i="23" s="1"/>
  <c r="C426" i="23" s="1"/>
  <c r="C427" i="23" s="1"/>
  <c r="C428" i="23" s="1"/>
  <c r="C429" i="23" s="1"/>
  <c r="C430" i="23" s="1"/>
  <c r="C431" i="23" s="1"/>
  <c r="C432" i="23" s="1"/>
  <c r="C433" i="23" s="1"/>
  <c r="C434" i="23" s="1"/>
  <c r="C435" i="23" s="1"/>
  <c r="C436" i="23" s="1"/>
  <c r="C437" i="23" s="1"/>
  <c r="C438" i="23" s="1"/>
  <c r="C439" i="23" s="1"/>
  <c r="C440" i="23" s="1"/>
  <c r="C441" i="23" s="1"/>
  <c r="C442" i="23" s="1"/>
  <c r="C443" i="23" s="1"/>
  <c r="C444" i="23" s="1"/>
  <c r="C445" i="23" s="1"/>
  <c r="C446" i="23" s="1"/>
  <c r="C447" i="23" s="1"/>
  <c r="C448" i="23" s="1"/>
  <c r="C449" i="23" s="1"/>
  <c r="C450" i="23" s="1"/>
  <c r="C451" i="23" s="1"/>
  <c r="C452" i="23" s="1"/>
  <c r="C453" i="23" s="1"/>
  <c r="C454" i="23" s="1"/>
  <c r="C455" i="23" s="1"/>
  <c r="C456" i="23" s="1"/>
  <c r="C457" i="23" s="1"/>
  <c r="C458" i="23" s="1"/>
  <c r="C459" i="23" s="1"/>
  <c r="C460" i="23" s="1"/>
  <c r="C461" i="23" s="1"/>
  <c r="C462" i="23" s="1"/>
  <c r="C463" i="23" s="1"/>
  <c r="C464" i="23" s="1"/>
  <c r="C465" i="23" s="1"/>
  <c r="C466" i="23" s="1"/>
  <c r="C467" i="23" s="1"/>
  <c r="C468" i="23" s="1"/>
  <c r="C469" i="23" s="1"/>
  <c r="C470" i="23" s="1"/>
  <c r="C471" i="23" s="1"/>
  <c r="C472" i="23" s="1"/>
  <c r="C473" i="23" s="1"/>
  <c r="C474" i="23" s="1"/>
  <c r="C475" i="23" s="1"/>
  <c r="C476" i="23" s="1"/>
  <c r="C477" i="23" s="1"/>
  <c r="C478" i="23" s="1"/>
  <c r="C479" i="23" s="1"/>
  <c r="C480" i="23" s="1"/>
  <c r="C481" i="23" s="1"/>
  <c r="C482" i="23" s="1"/>
  <c r="C483" i="23" s="1"/>
  <c r="C484" i="23" s="1"/>
  <c r="C485" i="23" s="1"/>
  <c r="C486" i="23" s="1"/>
  <c r="C487" i="23" s="1"/>
  <c r="C488" i="23" s="1"/>
  <c r="C489" i="23" s="1"/>
  <c r="C490" i="23" s="1"/>
  <c r="C491" i="23" s="1"/>
  <c r="C492" i="23" s="1"/>
  <c r="C493" i="23" s="1"/>
  <c r="C494" i="23" s="1"/>
  <c r="C495" i="23" s="1"/>
  <c r="C496" i="23" s="1"/>
  <c r="C497" i="23" s="1"/>
  <c r="C498" i="23" s="1"/>
  <c r="C499" i="23" s="1"/>
  <c r="C500" i="23" s="1"/>
  <c r="C501" i="23" s="1"/>
  <c r="C502" i="23" s="1"/>
  <c r="C503" i="23" s="1"/>
  <c r="C504" i="23" s="1"/>
  <c r="C505" i="23" s="1"/>
  <c r="C506" i="23" s="1"/>
  <c r="C507" i="23" s="1"/>
  <c r="C508" i="23" s="1"/>
  <c r="C509" i="23" s="1"/>
  <c r="C510" i="23" s="1"/>
  <c r="C511" i="23" s="1"/>
  <c r="C512" i="23" s="1"/>
  <c r="C513" i="23" s="1"/>
  <c r="C514" i="23" s="1"/>
  <c r="C515" i="23" s="1"/>
  <c r="C516" i="23" s="1"/>
  <c r="C517" i="23" s="1"/>
  <c r="C518" i="23" s="1"/>
  <c r="C519" i="23" s="1"/>
  <c r="C520" i="23" s="1"/>
  <c r="C521" i="23" s="1"/>
  <c r="C522" i="23" s="1"/>
  <c r="C523" i="23" s="1"/>
  <c r="C524" i="23" s="1"/>
  <c r="C525" i="23" s="1"/>
  <c r="C526" i="23" s="1"/>
  <c r="C527" i="23" s="1"/>
  <c r="C528" i="23" s="1"/>
  <c r="C529" i="23" s="1"/>
  <c r="C530" i="23" s="1"/>
  <c r="C531" i="23" s="1"/>
  <c r="C532" i="23" s="1"/>
  <c r="C533" i="23" s="1"/>
  <c r="C534" i="23" s="1"/>
  <c r="C535" i="23" s="1"/>
  <c r="C536" i="23" s="1"/>
  <c r="C537" i="23" s="1"/>
  <c r="C538" i="23" s="1"/>
  <c r="C539" i="23" s="1"/>
  <c r="C540" i="23" s="1"/>
  <c r="C541" i="23" s="1"/>
  <c r="C542" i="23" s="1"/>
  <c r="C543" i="23" s="1"/>
  <c r="C544" i="23" s="1"/>
  <c r="C545" i="23" s="1"/>
  <c r="C546" i="23" s="1"/>
  <c r="C547" i="23" s="1"/>
  <c r="C548" i="23" s="1"/>
  <c r="C549" i="23" s="1"/>
  <c r="C550" i="23" s="1"/>
  <c r="C551" i="23" s="1"/>
  <c r="C552" i="23" s="1"/>
  <c r="C553" i="23" s="1"/>
  <c r="C554" i="23" s="1"/>
  <c r="C555" i="23" s="1"/>
  <c r="C556" i="23" s="1"/>
  <c r="C557" i="23" s="1"/>
  <c r="C558" i="23" s="1"/>
  <c r="C559" i="23" s="1"/>
  <c r="C560" i="23" s="1"/>
  <c r="C561" i="23" s="1"/>
  <c r="C562" i="23" s="1"/>
  <c r="C563" i="23" s="1"/>
  <c r="C564" i="23" s="1"/>
  <c r="C565" i="23" s="1"/>
  <c r="C566" i="23" s="1"/>
  <c r="C567" i="23" s="1"/>
  <c r="C568" i="23" s="1"/>
  <c r="C569" i="23" s="1"/>
  <c r="C570" i="23" s="1"/>
  <c r="C571" i="23" s="1"/>
  <c r="C572" i="23" s="1"/>
  <c r="C573" i="23" s="1"/>
  <c r="C574" i="23" s="1"/>
  <c r="C575" i="23" s="1"/>
  <c r="C576" i="23" s="1"/>
  <c r="C577" i="23" s="1"/>
  <c r="C578" i="23" s="1"/>
  <c r="C579" i="23" s="1"/>
  <c r="C580" i="23" s="1"/>
  <c r="C581" i="23" s="1"/>
  <c r="C582" i="23" s="1"/>
  <c r="C583" i="23" s="1"/>
  <c r="C584" i="23" s="1"/>
  <c r="C585" i="23" s="1"/>
  <c r="C586" i="23" s="1"/>
  <c r="C587" i="23" s="1"/>
  <c r="C588" i="23" s="1"/>
  <c r="C589" i="23" s="1"/>
  <c r="C590" i="23" s="1"/>
  <c r="C591" i="23" s="1"/>
  <c r="C592" i="23" s="1"/>
  <c r="C593" i="23" s="1"/>
  <c r="C594" i="23" s="1"/>
  <c r="C595" i="23" s="1"/>
  <c r="C596" i="23" s="1"/>
  <c r="C597" i="23" s="1"/>
  <c r="C598" i="23" s="1"/>
  <c r="C599" i="23" s="1"/>
  <c r="C600" i="23" s="1"/>
  <c r="C601" i="23" s="1"/>
  <c r="C602" i="23" s="1"/>
  <c r="C603" i="23" s="1"/>
  <c r="C604" i="23" s="1"/>
  <c r="C605" i="23" s="1"/>
  <c r="C606" i="23" s="1"/>
  <c r="C607" i="23" s="1"/>
  <c r="C608" i="23" s="1"/>
  <c r="C609" i="23" s="1"/>
  <c r="C610" i="23" s="1"/>
  <c r="C611" i="23" s="1"/>
  <c r="C612" i="23" s="1"/>
  <c r="C613" i="23" s="1"/>
  <c r="C614" i="23" s="1"/>
  <c r="C615" i="23" s="1"/>
  <c r="C616" i="23" s="1"/>
  <c r="C617" i="23" s="1"/>
  <c r="C618" i="23" s="1"/>
  <c r="C619" i="23" s="1"/>
  <c r="C620" i="23" s="1"/>
  <c r="C621" i="23" s="1"/>
  <c r="C622" i="23" s="1"/>
  <c r="C623" i="23" s="1"/>
  <c r="C624" i="23" s="1"/>
  <c r="C625" i="23" s="1"/>
  <c r="C626" i="23" s="1"/>
  <c r="C627" i="23" s="1"/>
  <c r="C628" i="23" s="1"/>
  <c r="C629" i="23" s="1"/>
  <c r="C630" i="23" s="1"/>
  <c r="C631" i="23" s="1"/>
  <c r="C632" i="23" s="1"/>
  <c r="C633" i="23" s="1"/>
  <c r="C634" i="23" s="1"/>
  <c r="C635" i="23" s="1"/>
  <c r="C636" i="23" s="1"/>
  <c r="C637" i="23" s="1"/>
  <c r="C638" i="23" s="1"/>
  <c r="C639" i="23" s="1"/>
  <c r="C640" i="23" s="1"/>
  <c r="C641" i="23" s="1"/>
  <c r="C642" i="23" s="1"/>
  <c r="C643" i="23" s="1"/>
  <c r="C644" i="23" s="1"/>
  <c r="C645" i="23" s="1"/>
  <c r="C646" i="23" s="1"/>
  <c r="C647" i="23" s="1"/>
  <c r="C648" i="23" s="1"/>
  <c r="C649" i="23" s="1"/>
  <c r="C650" i="23" s="1"/>
  <c r="C651" i="23" s="1"/>
  <c r="C652" i="23" s="1"/>
  <c r="C653" i="23" s="1"/>
  <c r="C654" i="23" s="1"/>
  <c r="C655" i="23" s="1"/>
  <c r="C656" i="23" s="1"/>
  <c r="C657" i="23" s="1"/>
  <c r="C658" i="23" s="1"/>
  <c r="C659" i="23" s="1"/>
  <c r="C660" i="23" s="1"/>
  <c r="C661" i="23" s="1"/>
  <c r="C662" i="23" s="1"/>
  <c r="C663" i="23" s="1"/>
  <c r="C664" i="23" s="1"/>
  <c r="C665" i="23" s="1"/>
  <c r="C666" i="23" s="1"/>
  <c r="C667" i="23" s="1"/>
  <c r="C668" i="23" s="1"/>
  <c r="C669" i="23" s="1"/>
  <c r="C670" i="23" s="1"/>
  <c r="C671" i="23" s="1"/>
  <c r="C672" i="23" s="1"/>
  <c r="C673" i="23" s="1"/>
  <c r="C674" i="23" s="1"/>
  <c r="C675" i="23" s="1"/>
  <c r="C676" i="23" s="1"/>
  <c r="C677" i="23" s="1"/>
  <c r="C678" i="23" s="1"/>
  <c r="C679" i="23" s="1"/>
  <c r="C680" i="23" s="1"/>
  <c r="C681" i="23" s="1"/>
  <c r="C682" i="23" s="1"/>
  <c r="C683" i="23" s="1"/>
  <c r="C684" i="23" s="1"/>
  <c r="C685" i="23" s="1"/>
  <c r="C686" i="23" s="1"/>
  <c r="C687" i="23" s="1"/>
  <c r="C688" i="23" s="1"/>
  <c r="C689" i="23" s="1"/>
  <c r="C690" i="23" s="1"/>
  <c r="C691" i="23" s="1"/>
  <c r="C692" i="23" s="1"/>
  <c r="C693" i="23" s="1"/>
  <c r="C694" i="23" s="1"/>
  <c r="C695" i="23" s="1"/>
  <c r="C696" i="23" s="1"/>
  <c r="C697" i="23" s="1"/>
  <c r="C698" i="23" s="1"/>
  <c r="C699" i="23" s="1"/>
  <c r="C700" i="23" s="1"/>
  <c r="C701" i="23" s="1"/>
  <c r="C702" i="23" s="1"/>
  <c r="C703" i="23" s="1"/>
  <c r="C704" i="23" s="1"/>
  <c r="C705" i="23" s="1"/>
  <c r="C706" i="23" s="1"/>
  <c r="B2" i="23"/>
  <c r="B8" i="23" s="1"/>
  <c r="B9" i="23" s="1"/>
  <c r="H29" i="25" l="1"/>
  <c r="H51" i="25"/>
  <c r="H32" i="25"/>
  <c r="H16" i="25"/>
  <c r="H46" i="25"/>
  <c r="H27" i="25"/>
  <c r="H18" i="25"/>
  <c r="H8" i="25"/>
  <c r="H5" i="25"/>
  <c r="H42" i="25"/>
  <c r="H22" i="25"/>
  <c r="H11" i="25"/>
  <c r="H36" i="25"/>
  <c r="G50" i="25"/>
  <c r="G36" i="25"/>
  <c r="G5" i="25"/>
  <c r="G51" i="25"/>
  <c r="G32" i="25"/>
  <c r="G9" i="25"/>
  <c r="G16" i="25"/>
  <c r="G12" i="25"/>
  <c r="G19" i="25"/>
  <c r="G46" i="25"/>
  <c r="G27" i="25"/>
  <c r="G18" i="25"/>
  <c r="G14" i="25"/>
  <c r="G8" i="25"/>
  <c r="G24" i="25"/>
  <c r="G42" i="25"/>
  <c r="G22" i="25"/>
  <c r="G17" i="25"/>
  <c r="G11" i="25"/>
  <c r="G6" i="25"/>
  <c r="H4" i="25"/>
  <c r="G34" i="25"/>
  <c r="G44" i="25"/>
  <c r="G4" i="25"/>
  <c r="G7" i="25"/>
  <c r="G10" i="25"/>
  <c r="H14" i="25"/>
  <c r="H17" i="25"/>
  <c r="H19" i="25"/>
  <c r="H24" i="25"/>
  <c r="H34" i="25"/>
  <c r="H39" i="25"/>
  <c r="H44" i="25"/>
  <c r="H49" i="25"/>
  <c r="G53" i="25"/>
  <c r="H7" i="25"/>
  <c r="H10" i="25"/>
  <c r="G15" i="25"/>
  <c r="G21" i="25"/>
  <c r="G25" i="25"/>
  <c r="G30" i="25"/>
  <c r="G35" i="25"/>
  <c r="G40" i="25"/>
  <c r="G45" i="25"/>
  <c r="H53" i="25"/>
  <c r="H15" i="25"/>
  <c r="H21" i="25"/>
  <c r="H25" i="25"/>
  <c r="H30" i="25"/>
  <c r="H35" i="25"/>
  <c r="H40" i="25"/>
  <c r="H45" i="25"/>
  <c r="H50" i="25"/>
  <c r="G23" i="25"/>
  <c r="G28" i="25"/>
  <c r="G33" i="25"/>
  <c r="G37" i="25"/>
  <c r="G43" i="25"/>
  <c r="G48" i="25"/>
  <c r="G52" i="25"/>
  <c r="H6" i="25"/>
  <c r="H9" i="25"/>
  <c r="H12" i="25"/>
  <c r="H23" i="25"/>
  <c r="H28" i="25"/>
  <c r="H33" i="25"/>
  <c r="H37" i="25"/>
  <c r="H43" i="25"/>
  <c r="H48" i="25"/>
  <c r="H52" i="25"/>
  <c r="G29" i="25"/>
  <c r="G39" i="25"/>
  <c r="G49" i="25"/>
  <c r="H10" i="24"/>
  <c r="H13" i="24"/>
  <c r="H16" i="24"/>
  <c r="G24" i="24"/>
  <c r="H27" i="24"/>
  <c r="G32" i="24"/>
  <c r="H35" i="24"/>
  <c r="G21" i="24"/>
  <c r="G29" i="24"/>
  <c r="G11" i="24"/>
  <c r="G14" i="24"/>
  <c r="G17" i="24"/>
  <c r="G26" i="24"/>
  <c r="G34" i="24"/>
  <c r="G23" i="24"/>
  <c r="G31" i="24"/>
  <c r="G28" i="24"/>
  <c r="G36" i="24"/>
  <c r="E9" i="23"/>
  <c r="B10" i="23"/>
  <c r="F9" i="23"/>
  <c r="F8" i="23"/>
  <c r="E8" i="23"/>
  <c r="F10" i="23" l="1"/>
  <c r="E10" i="23"/>
  <c r="B11" i="23"/>
  <c r="B12" i="23" l="1"/>
  <c r="F11" i="23"/>
  <c r="E11" i="23"/>
  <c r="F12" i="23" l="1"/>
  <c r="B13" i="23"/>
  <c r="E12" i="23"/>
  <c r="E13" i="23" l="1"/>
  <c r="B14" i="23"/>
  <c r="F13" i="23"/>
  <c r="B15" i="23" l="1"/>
  <c r="F14" i="23"/>
  <c r="E14" i="23"/>
  <c r="B16" i="23" l="1"/>
  <c r="E15" i="23"/>
  <c r="F15" i="23"/>
  <c r="F16" i="23" l="1"/>
  <c r="B17" i="23"/>
  <c r="E16" i="23"/>
  <c r="E17" i="23" l="1"/>
  <c r="B18" i="23"/>
  <c r="F17" i="23"/>
  <c r="E18" i="23" l="1"/>
  <c r="B19" i="23"/>
  <c r="F18" i="23"/>
  <c r="B20" i="23" l="1"/>
  <c r="F19" i="23"/>
  <c r="E19" i="23"/>
  <c r="F20" i="23" l="1"/>
  <c r="E20" i="23"/>
  <c r="B21" i="23"/>
  <c r="E21" i="23" l="1"/>
  <c r="B22" i="23"/>
  <c r="F21" i="23"/>
  <c r="F22" i="23" l="1"/>
  <c r="E22" i="23"/>
  <c r="B23" i="23"/>
  <c r="B24" i="23" l="1"/>
  <c r="E23" i="23"/>
  <c r="F23" i="23"/>
  <c r="F24" i="23" l="1"/>
  <c r="B25" i="23"/>
  <c r="E24" i="23"/>
  <c r="E25" i="23" l="1"/>
  <c r="F25" i="23"/>
  <c r="B26" i="23"/>
  <c r="B27" i="23" l="1"/>
  <c r="F26" i="23"/>
  <c r="E26" i="23"/>
  <c r="B28" i="23" l="1"/>
  <c r="F27" i="23"/>
  <c r="E27" i="23"/>
  <c r="F28" i="23" l="1"/>
  <c r="B29" i="23"/>
  <c r="E28" i="23"/>
  <c r="E29" i="23" l="1"/>
  <c r="B30" i="23"/>
  <c r="F29" i="23"/>
  <c r="B31" i="23" l="1"/>
  <c r="F30" i="23"/>
  <c r="E30" i="23"/>
  <c r="B32" i="23" l="1"/>
  <c r="F31" i="23"/>
  <c r="E31" i="23"/>
  <c r="F32" i="23" l="1"/>
  <c r="E32" i="23"/>
  <c r="B33" i="23"/>
  <c r="E33" i="23" l="1"/>
  <c r="B34" i="23"/>
  <c r="F33" i="23"/>
  <c r="B35" i="23" l="1"/>
  <c r="F34" i="23"/>
  <c r="E34" i="23"/>
  <c r="B36" i="23" l="1"/>
  <c r="E35" i="23"/>
  <c r="F35" i="23"/>
  <c r="F36" i="23" l="1"/>
  <c r="B37" i="23"/>
  <c r="E36" i="23"/>
  <c r="E37" i="23" l="1"/>
  <c r="F37" i="23"/>
  <c r="B38" i="23"/>
  <c r="E38" i="23" l="1"/>
  <c r="B39" i="23"/>
  <c r="F38" i="23"/>
  <c r="B40" i="23" l="1"/>
  <c r="F39" i="23"/>
  <c r="E39" i="23"/>
  <c r="F40" i="23" l="1"/>
  <c r="E40" i="23"/>
  <c r="B41" i="23"/>
  <c r="E41" i="23" l="1"/>
  <c r="B42" i="23"/>
  <c r="F41" i="23"/>
  <c r="F42" i="23" l="1"/>
  <c r="E42" i="23"/>
  <c r="B43" i="23"/>
  <c r="B44" i="23" l="1"/>
  <c r="F43" i="23"/>
  <c r="E43" i="23"/>
  <c r="F44" i="23" l="1"/>
  <c r="B45" i="23"/>
  <c r="E44" i="23"/>
  <c r="E45" i="23" l="1"/>
  <c r="B46" i="23"/>
  <c r="F45" i="23"/>
  <c r="B47" i="23" l="1"/>
  <c r="F46" i="23"/>
  <c r="E46" i="23"/>
  <c r="B48" i="23" l="1"/>
  <c r="F47" i="23"/>
  <c r="E47" i="23"/>
  <c r="F48" i="23" l="1"/>
  <c r="B49" i="23"/>
  <c r="E48" i="23"/>
  <c r="E49" i="23" l="1"/>
  <c r="F49" i="23"/>
  <c r="B50" i="23"/>
  <c r="E50" i="23" l="1"/>
  <c r="B51" i="23"/>
  <c r="F50" i="23"/>
  <c r="B52" i="23" l="1"/>
  <c r="F51" i="23"/>
  <c r="E51" i="23"/>
  <c r="F52" i="23" l="1"/>
  <c r="E52" i="23"/>
  <c r="B53" i="23"/>
  <c r="E53" i="23" l="1"/>
  <c r="B54" i="23"/>
  <c r="F53" i="23"/>
  <c r="F54" i="23" l="1"/>
  <c r="B55" i="23"/>
  <c r="E54" i="23"/>
  <c r="B56" i="23" l="1"/>
  <c r="E55" i="23"/>
  <c r="F55" i="23"/>
  <c r="F56" i="23" l="1"/>
  <c r="B57" i="23"/>
  <c r="E56" i="23"/>
  <c r="E57" i="23" l="1"/>
  <c r="F57" i="23"/>
  <c r="B58" i="23"/>
  <c r="B59" i="23" l="1"/>
  <c r="F58" i="23"/>
  <c r="E58" i="23"/>
  <c r="B60" i="23" l="1"/>
  <c r="F59" i="23"/>
  <c r="E59" i="23"/>
  <c r="F60" i="23" l="1"/>
  <c r="B61" i="23"/>
  <c r="E60" i="23"/>
  <c r="E61" i="23" l="1"/>
  <c r="B62" i="23"/>
  <c r="F61" i="23"/>
  <c r="B63" i="23" l="1"/>
  <c r="E62" i="23"/>
  <c r="F62" i="23"/>
  <c r="B64" i="23" l="1"/>
  <c r="F63" i="23"/>
  <c r="E63" i="23"/>
  <c r="F64" i="23" l="1"/>
  <c r="B65" i="23"/>
  <c r="E64" i="23"/>
  <c r="E65" i="23" l="1"/>
  <c r="B66" i="23"/>
  <c r="F65" i="23"/>
  <c r="F66" i="23" l="1"/>
  <c r="E66" i="23"/>
  <c r="B67" i="23"/>
  <c r="B68" i="23" l="1"/>
  <c r="E67" i="23"/>
  <c r="F67" i="23"/>
  <c r="F68" i="23" l="1"/>
  <c r="B69" i="23"/>
  <c r="E68" i="23"/>
  <c r="E69" i="23" l="1"/>
  <c r="F69" i="23"/>
  <c r="B70" i="23"/>
  <c r="E70" i="23" l="1"/>
  <c r="B71" i="23"/>
  <c r="F70" i="23"/>
  <c r="B72" i="23" l="1"/>
  <c r="F71" i="23"/>
  <c r="E71" i="23"/>
  <c r="F72" i="23" l="1"/>
  <c r="E72" i="23"/>
  <c r="B73" i="23"/>
  <c r="E73" i="23" l="1"/>
  <c r="B74" i="23"/>
  <c r="F73" i="23"/>
  <c r="F74" i="23" l="1"/>
  <c r="B75" i="23"/>
  <c r="E74" i="23"/>
  <c r="B76" i="23" l="1"/>
  <c r="F75" i="23"/>
  <c r="E75" i="23"/>
  <c r="F76" i="23" l="1"/>
  <c r="B77" i="23"/>
  <c r="E76" i="23"/>
  <c r="E77" i="23" l="1"/>
  <c r="B78" i="23"/>
  <c r="F77" i="23"/>
  <c r="B79" i="23" l="1"/>
  <c r="F78" i="23"/>
  <c r="E78" i="23"/>
  <c r="B80" i="23" l="1"/>
  <c r="E79" i="23"/>
  <c r="F79" i="23"/>
  <c r="F80" i="23" l="1"/>
  <c r="B81" i="23"/>
  <c r="E80" i="23"/>
  <c r="E81" i="23" l="1"/>
  <c r="B82" i="23"/>
  <c r="F81" i="23"/>
  <c r="E82" i="23" l="1"/>
  <c r="B83" i="23"/>
  <c r="F82" i="23"/>
  <c r="B84" i="23" l="1"/>
  <c r="F83" i="23"/>
  <c r="E83" i="23"/>
  <c r="F84" i="23" l="1"/>
  <c r="E84" i="23"/>
  <c r="B85" i="23"/>
  <c r="E85" i="23" l="1"/>
  <c r="B86" i="23"/>
  <c r="F85" i="23"/>
  <c r="F86" i="23" l="1"/>
  <c r="E86" i="23"/>
  <c r="B87" i="23"/>
  <c r="B88" i="23" l="1"/>
  <c r="E87" i="23"/>
  <c r="F87" i="23"/>
  <c r="F88" i="23" l="1"/>
  <c r="B89" i="23"/>
  <c r="E88" i="23"/>
  <c r="E89" i="23" l="1"/>
  <c r="F89" i="23"/>
  <c r="B90" i="23"/>
  <c r="B91" i="23" l="1"/>
  <c r="F90" i="23"/>
  <c r="E90" i="23"/>
  <c r="B92" i="23" l="1"/>
  <c r="F91" i="23"/>
  <c r="E91" i="23"/>
  <c r="F92" i="23" l="1"/>
  <c r="E92" i="23"/>
  <c r="B93" i="23"/>
  <c r="E93" i="23" l="1"/>
  <c r="B94" i="23"/>
  <c r="F93" i="23"/>
  <c r="B95" i="23" l="1"/>
  <c r="F94" i="23"/>
  <c r="E94" i="23"/>
  <c r="B96" i="23" l="1"/>
  <c r="F95" i="23"/>
  <c r="E95" i="23"/>
  <c r="F96" i="23" l="1"/>
  <c r="B97" i="23"/>
  <c r="E96" i="23"/>
  <c r="E97" i="23" l="1"/>
  <c r="B98" i="23"/>
  <c r="F97" i="23"/>
  <c r="E98" i="23" l="1"/>
  <c r="B99" i="23"/>
  <c r="F98" i="23"/>
  <c r="B100" i="23" l="1"/>
  <c r="E99" i="23"/>
  <c r="F99" i="23"/>
  <c r="F100" i="23" l="1"/>
  <c r="B101" i="23"/>
  <c r="E100" i="23"/>
  <c r="E101" i="23" l="1"/>
  <c r="F101" i="23"/>
  <c r="B102" i="23"/>
  <c r="E102" i="23" l="1"/>
  <c r="B103" i="23"/>
  <c r="F102" i="23"/>
  <c r="B104" i="23" l="1"/>
  <c r="F103" i="23"/>
  <c r="E103" i="23"/>
  <c r="F104" i="23" l="1"/>
  <c r="E104" i="23"/>
  <c r="B105" i="23"/>
  <c r="E105" i="23" l="1"/>
  <c r="B106" i="23"/>
  <c r="F105" i="23"/>
  <c r="F106" i="23" l="1"/>
  <c r="B107" i="23"/>
  <c r="E106" i="23"/>
  <c r="B108" i="23" l="1"/>
  <c r="F107" i="23"/>
  <c r="E107" i="23"/>
  <c r="F108" i="23" l="1"/>
  <c r="B109" i="23"/>
  <c r="E108" i="23"/>
  <c r="E109" i="23" l="1"/>
  <c r="B110" i="23"/>
  <c r="F109" i="23"/>
  <c r="B111" i="23" l="1"/>
  <c r="F110" i="23"/>
  <c r="E110" i="23"/>
  <c r="B112" i="23" l="1"/>
  <c r="F111" i="23"/>
  <c r="E111" i="23"/>
  <c r="F112" i="23" l="1"/>
  <c r="E112" i="23"/>
  <c r="B113" i="23"/>
  <c r="E113" i="23" l="1"/>
  <c r="B114" i="23"/>
  <c r="F113" i="23"/>
  <c r="E114" i="23" l="1"/>
  <c r="B115" i="23"/>
  <c r="F114" i="23"/>
  <c r="B116" i="23" l="1"/>
  <c r="F115" i="23"/>
  <c r="E115" i="23"/>
  <c r="F116" i="23" l="1"/>
  <c r="E116" i="23"/>
  <c r="B117" i="23"/>
  <c r="E117" i="23" l="1"/>
  <c r="B118" i="23"/>
  <c r="F117" i="23"/>
  <c r="F118" i="23" l="1"/>
  <c r="E118" i="23"/>
  <c r="B119" i="23"/>
  <c r="B120" i="23" l="1"/>
  <c r="E119" i="23"/>
  <c r="F119" i="23"/>
  <c r="F120" i="23" l="1"/>
  <c r="B121" i="23"/>
  <c r="E120" i="23"/>
  <c r="E121" i="23" l="1"/>
  <c r="F121" i="23"/>
  <c r="B122" i="23"/>
  <c r="B123" i="23" l="1"/>
  <c r="F122" i="23"/>
  <c r="E122" i="23"/>
  <c r="B124" i="23" l="1"/>
  <c r="F123" i="23"/>
  <c r="E123" i="23"/>
  <c r="F124" i="23" l="1"/>
  <c r="B125" i="23"/>
  <c r="E124" i="23"/>
  <c r="E125" i="23" l="1"/>
  <c r="B126" i="23"/>
  <c r="F125" i="23"/>
  <c r="B127" i="23" l="1"/>
  <c r="F126" i="23"/>
  <c r="E126" i="23"/>
  <c r="B128" i="23" l="1"/>
  <c r="F127" i="23"/>
  <c r="E127" i="23"/>
  <c r="F128" i="23" l="1"/>
  <c r="B129" i="23"/>
  <c r="E128" i="23"/>
  <c r="E129" i="23" l="1"/>
  <c r="F129" i="23"/>
  <c r="B130" i="23"/>
  <c r="B131" i="23" l="1"/>
  <c r="F130" i="23"/>
  <c r="E130" i="23"/>
  <c r="B132" i="23" l="1"/>
  <c r="E131" i="23"/>
  <c r="F131" i="23"/>
  <c r="F132" i="23" l="1"/>
  <c r="E132" i="23"/>
  <c r="B133" i="23"/>
  <c r="E133" i="23" l="1"/>
  <c r="F133" i="23"/>
  <c r="B134" i="23"/>
  <c r="E134" i="23" l="1"/>
  <c r="B135" i="23"/>
  <c r="F134" i="23"/>
  <c r="B136" i="23" l="1"/>
  <c r="F135" i="23"/>
  <c r="E135" i="23"/>
  <c r="F136" i="23" l="1"/>
  <c r="E136" i="23"/>
  <c r="B137" i="23"/>
  <c r="E137" i="23" l="1"/>
  <c r="B138" i="23"/>
  <c r="F137" i="23"/>
  <c r="F138" i="23" l="1"/>
  <c r="B139" i="23"/>
  <c r="E138" i="23"/>
  <c r="B140" i="23" l="1"/>
  <c r="F139" i="23"/>
  <c r="E139" i="23"/>
  <c r="F140" i="23" l="1"/>
  <c r="B141" i="23"/>
  <c r="E140" i="23"/>
  <c r="E141" i="23" l="1"/>
  <c r="B142" i="23"/>
  <c r="F141" i="23"/>
  <c r="B143" i="23" l="1"/>
  <c r="F142" i="23"/>
  <c r="E142" i="23"/>
  <c r="B144" i="23" l="1"/>
  <c r="F143" i="23"/>
  <c r="E143" i="23"/>
  <c r="F144" i="23" l="1"/>
  <c r="B145" i="23"/>
  <c r="E144" i="23"/>
  <c r="E145" i="23" l="1"/>
  <c r="B146" i="23"/>
  <c r="F145" i="23"/>
  <c r="E146" i="23" l="1"/>
  <c r="F146" i="23"/>
  <c r="B147" i="23"/>
  <c r="B148" i="23" l="1"/>
  <c r="F147" i="23"/>
  <c r="E147" i="23"/>
  <c r="F148" i="23" l="1"/>
  <c r="E148" i="23"/>
  <c r="B149" i="23"/>
  <c r="E149" i="23" l="1"/>
  <c r="F149" i="23"/>
  <c r="B150" i="23"/>
  <c r="F150" i="23" l="1"/>
  <c r="B151" i="23"/>
  <c r="E150" i="23"/>
  <c r="B152" i="23" l="1"/>
  <c r="E151" i="23"/>
  <c r="F151" i="23"/>
  <c r="F152" i="23" l="1"/>
  <c r="B153" i="23"/>
  <c r="E152" i="23"/>
  <c r="E153" i="23" l="1"/>
  <c r="F153" i="23"/>
  <c r="B154" i="23"/>
  <c r="B155" i="23" l="1"/>
  <c r="F154" i="23"/>
  <c r="E154" i="23"/>
  <c r="B156" i="23" l="1"/>
  <c r="F155" i="23"/>
  <c r="E155" i="23"/>
  <c r="F156" i="23" l="1"/>
  <c r="B157" i="23"/>
  <c r="E156" i="23"/>
  <c r="E157" i="23" l="1"/>
  <c r="B158" i="23"/>
  <c r="F157" i="23"/>
  <c r="B159" i="23" l="1"/>
  <c r="F158" i="23"/>
  <c r="E158" i="23"/>
  <c r="B160" i="23" l="1"/>
  <c r="F159" i="23"/>
  <c r="E159" i="23"/>
  <c r="F160" i="23" l="1"/>
  <c r="B161" i="23"/>
  <c r="E160" i="23"/>
  <c r="E161" i="23" l="1"/>
  <c r="B162" i="23"/>
  <c r="F161" i="23"/>
  <c r="B163" i="23" l="1"/>
  <c r="F162" i="23"/>
  <c r="E162" i="23"/>
  <c r="B164" i="23" l="1"/>
  <c r="E163" i="23"/>
  <c r="F163" i="23"/>
  <c r="F164" i="23" l="1"/>
  <c r="B165" i="23"/>
  <c r="E164" i="23"/>
  <c r="E165" i="23" l="1"/>
  <c r="F165" i="23"/>
  <c r="B166" i="23"/>
  <c r="E166" i="23" l="1"/>
  <c r="B167" i="23"/>
  <c r="F166" i="23"/>
  <c r="B168" i="23" l="1"/>
  <c r="F167" i="23"/>
  <c r="E167" i="23"/>
  <c r="F168" i="23" l="1"/>
  <c r="E168" i="23"/>
  <c r="B169" i="23"/>
  <c r="E169" i="23" l="1"/>
  <c r="B170" i="23"/>
  <c r="F169" i="23"/>
  <c r="F170" i="23" l="1"/>
  <c r="B171" i="23"/>
  <c r="E170" i="23"/>
  <c r="B172" i="23" l="1"/>
  <c r="F171" i="23"/>
  <c r="E171" i="23"/>
  <c r="F172" i="23" l="1"/>
  <c r="B173" i="23"/>
  <c r="E172" i="23"/>
  <c r="E173" i="23" l="1"/>
  <c r="B174" i="23"/>
  <c r="F173" i="23"/>
  <c r="B175" i="23" l="1"/>
  <c r="F174" i="23"/>
  <c r="E174" i="23"/>
  <c r="B176" i="23" l="1"/>
  <c r="F175" i="23"/>
  <c r="E175" i="23"/>
  <c r="F176" i="23" l="1"/>
  <c r="B177" i="23"/>
  <c r="E176" i="23"/>
  <c r="E177" i="23" l="1"/>
  <c r="B178" i="23"/>
  <c r="F177" i="23"/>
  <c r="E178" i="23" l="1"/>
  <c r="B179" i="23"/>
  <c r="F178" i="23"/>
  <c r="B180" i="23" l="1"/>
  <c r="F179" i="23"/>
  <c r="E179" i="23"/>
  <c r="F180" i="23" l="1"/>
  <c r="E180" i="23"/>
  <c r="B181" i="23"/>
  <c r="E181" i="23" l="1"/>
  <c r="B182" i="23"/>
  <c r="F181" i="23"/>
  <c r="F182" i="23" l="1"/>
  <c r="B183" i="23"/>
  <c r="E182" i="23"/>
  <c r="B184" i="23" l="1"/>
  <c r="E183" i="23"/>
  <c r="F183" i="23"/>
  <c r="F184" i="23" l="1"/>
  <c r="B185" i="23"/>
  <c r="E184" i="23"/>
  <c r="E185" i="23" l="1"/>
  <c r="F185" i="23"/>
  <c r="B186" i="23"/>
  <c r="B187" i="23" l="1"/>
  <c r="E186" i="23"/>
  <c r="F186" i="23"/>
  <c r="B188" i="23" l="1"/>
  <c r="F187" i="23"/>
  <c r="E187" i="23"/>
  <c r="F188" i="23" l="1"/>
  <c r="B189" i="23"/>
  <c r="E188" i="23"/>
  <c r="E189" i="23" l="1"/>
  <c r="B190" i="23"/>
  <c r="F189" i="23"/>
  <c r="B191" i="23" l="1"/>
  <c r="F190" i="23"/>
  <c r="E190" i="23"/>
  <c r="B192" i="23" l="1"/>
  <c r="F191" i="23"/>
  <c r="E191" i="23"/>
  <c r="E192" i="23" l="1"/>
  <c r="B193" i="23"/>
  <c r="F192" i="23"/>
  <c r="B194" i="23" l="1"/>
  <c r="F193" i="23"/>
  <c r="E193" i="23"/>
  <c r="B195" i="23" l="1"/>
  <c r="F194" i="23"/>
  <c r="E194" i="23"/>
  <c r="F195" i="23" l="1"/>
  <c r="B196" i="23"/>
  <c r="E195" i="23"/>
  <c r="E196" i="23" l="1"/>
  <c r="F196" i="23"/>
  <c r="B197" i="23"/>
  <c r="F197" i="23" l="1"/>
  <c r="B198" i="23"/>
  <c r="E197" i="23"/>
  <c r="B199" i="23" l="1"/>
  <c r="F198" i="23"/>
  <c r="E198" i="23"/>
  <c r="F199" i="23" l="1"/>
  <c r="E199" i="23"/>
  <c r="B200" i="23"/>
  <c r="E200" i="23" l="1"/>
  <c r="F200" i="23"/>
  <c r="B201" i="23"/>
  <c r="E201" i="23" l="1"/>
  <c r="B202" i="23"/>
  <c r="F201" i="23"/>
  <c r="B203" i="23" l="1"/>
  <c r="E202" i="23"/>
  <c r="F202" i="23"/>
  <c r="F203" i="23" l="1"/>
  <c r="E203" i="23"/>
  <c r="B204" i="23"/>
  <c r="E204" i="23" l="1"/>
  <c r="F204" i="23"/>
  <c r="B205" i="23"/>
  <c r="F205" i="23" l="1"/>
  <c r="B206" i="23"/>
  <c r="E205" i="23"/>
  <c r="B207" i="23" l="1"/>
  <c r="F206" i="23"/>
  <c r="E206" i="23"/>
  <c r="F207" i="23" l="1"/>
  <c r="B208" i="23"/>
  <c r="E207" i="23"/>
  <c r="E208" i="23" l="1"/>
  <c r="B209" i="23"/>
  <c r="F208" i="23"/>
  <c r="B210" i="23" l="1"/>
  <c r="F209" i="23"/>
  <c r="E209" i="23"/>
  <c r="B211" i="23" l="1"/>
  <c r="F210" i="23"/>
  <c r="E210" i="23"/>
  <c r="F211" i="23" l="1"/>
  <c r="B212" i="23"/>
  <c r="E211" i="23"/>
  <c r="E212" i="23" l="1"/>
  <c r="B213" i="23"/>
  <c r="F212" i="23"/>
  <c r="F213" i="23" l="1"/>
  <c r="B214" i="23"/>
  <c r="E213" i="23"/>
  <c r="B215" i="23" l="1"/>
  <c r="F214" i="23"/>
  <c r="E214" i="23"/>
  <c r="F215" i="23" l="1"/>
  <c r="B216" i="23"/>
  <c r="E215" i="23"/>
  <c r="E216" i="23" l="1"/>
  <c r="F216" i="23"/>
  <c r="B217" i="23"/>
  <c r="E217" i="23" l="1"/>
  <c r="F217" i="23"/>
  <c r="B218" i="23"/>
  <c r="B219" i="23" l="1"/>
  <c r="E218" i="23"/>
  <c r="F218" i="23"/>
  <c r="F219" i="23" l="1"/>
  <c r="E219" i="23"/>
  <c r="B220" i="23"/>
  <c r="E220" i="23" l="1"/>
  <c r="F220" i="23"/>
  <c r="B221" i="23"/>
  <c r="F221" i="23" l="1"/>
  <c r="B222" i="23"/>
  <c r="E221" i="23"/>
  <c r="B223" i="23" l="1"/>
  <c r="F222" i="23"/>
  <c r="E222" i="23"/>
  <c r="F223" i="23" l="1"/>
  <c r="B224" i="23"/>
  <c r="E223" i="23"/>
  <c r="E224" i="23" l="1"/>
  <c r="B225" i="23"/>
  <c r="F224" i="23"/>
  <c r="B226" i="23" l="1"/>
  <c r="F225" i="23"/>
  <c r="E225" i="23"/>
  <c r="B227" i="23" l="1"/>
  <c r="E226" i="23"/>
  <c r="F226" i="23"/>
  <c r="F227" i="23" l="1"/>
  <c r="B228" i="23"/>
  <c r="E227" i="23"/>
  <c r="E228" i="23" l="1"/>
  <c r="B229" i="23"/>
  <c r="F228" i="23"/>
  <c r="B230" i="23" l="1"/>
  <c r="F229" i="23"/>
  <c r="E229" i="23"/>
  <c r="B231" i="23" l="1"/>
  <c r="F230" i="23"/>
  <c r="E230" i="23"/>
  <c r="F231" i="23" l="1"/>
  <c r="B232" i="23"/>
  <c r="E231" i="23"/>
  <c r="E232" i="23" l="1"/>
  <c r="B233" i="23"/>
  <c r="F232" i="23"/>
  <c r="E233" i="23" l="1"/>
  <c r="F233" i="23"/>
  <c r="B234" i="23"/>
  <c r="B235" i="23" l="1"/>
  <c r="E234" i="23"/>
  <c r="F234" i="23"/>
  <c r="F235" i="23" l="1"/>
  <c r="E235" i="23"/>
  <c r="B236" i="23"/>
  <c r="E236" i="23" l="1"/>
  <c r="F236" i="23"/>
  <c r="B237" i="23"/>
  <c r="F237" i="23" l="1"/>
  <c r="E237" i="23"/>
  <c r="B238" i="23"/>
  <c r="B239" i="23" l="1"/>
  <c r="F238" i="23"/>
  <c r="E238" i="23"/>
  <c r="F239" i="23" l="1"/>
  <c r="B240" i="23"/>
  <c r="E239" i="23"/>
  <c r="E240" i="23" l="1"/>
  <c r="B241" i="23"/>
  <c r="F240" i="23"/>
  <c r="B242" i="23" l="1"/>
  <c r="F241" i="23"/>
  <c r="E241" i="23"/>
  <c r="B243" i="23" l="1"/>
  <c r="F242" i="23"/>
  <c r="E242" i="23"/>
  <c r="F243" i="23" l="1"/>
  <c r="B244" i="23"/>
  <c r="E243" i="23"/>
  <c r="E244" i="23" l="1"/>
  <c r="B245" i="23"/>
  <c r="F244" i="23"/>
  <c r="B246" i="23" l="1"/>
  <c r="E245" i="23"/>
  <c r="F245" i="23"/>
  <c r="B247" i="23" l="1"/>
  <c r="F246" i="23"/>
  <c r="E246" i="23"/>
  <c r="F247" i="23" l="1"/>
  <c r="B248" i="23"/>
  <c r="E247" i="23"/>
  <c r="E248" i="23" l="1"/>
  <c r="B249" i="23"/>
  <c r="F248" i="23"/>
  <c r="E249" i="23" l="1"/>
  <c r="B250" i="23"/>
  <c r="F249" i="23"/>
  <c r="B251" i="23" l="1"/>
  <c r="E250" i="23"/>
  <c r="F250" i="23"/>
  <c r="F251" i="23" l="1"/>
  <c r="E251" i="23"/>
  <c r="B252" i="23"/>
  <c r="E252" i="23" l="1"/>
  <c r="F252" i="23"/>
  <c r="B253" i="23"/>
  <c r="F253" i="23" l="1"/>
  <c r="E253" i="23"/>
  <c r="B254" i="23"/>
  <c r="B255" i="23" l="1"/>
  <c r="F254" i="23"/>
  <c r="E254" i="23"/>
  <c r="F255" i="23" l="1"/>
  <c r="B256" i="23"/>
  <c r="E255" i="23"/>
  <c r="E256" i="23" l="1"/>
  <c r="B257" i="23"/>
  <c r="F256" i="23"/>
  <c r="B258" i="23" l="1"/>
  <c r="E257" i="23"/>
  <c r="F257" i="23"/>
  <c r="B259" i="23" l="1"/>
  <c r="F258" i="23"/>
  <c r="E258" i="23"/>
  <c r="F259" i="23" l="1"/>
  <c r="B260" i="23"/>
  <c r="E259" i="23"/>
  <c r="E260" i="23" l="1"/>
  <c r="F260" i="23"/>
  <c r="B261" i="23"/>
  <c r="B262" i="23" l="1"/>
  <c r="F261" i="23"/>
  <c r="E261" i="23"/>
  <c r="B263" i="23" l="1"/>
  <c r="F262" i="23"/>
  <c r="E262" i="23"/>
  <c r="F263" i="23" l="1"/>
  <c r="B264" i="23"/>
  <c r="E263" i="23"/>
  <c r="E264" i="23" l="1"/>
  <c r="B265" i="23"/>
  <c r="F264" i="23"/>
  <c r="E265" i="23" l="1"/>
  <c r="B266" i="23"/>
  <c r="F265" i="23"/>
  <c r="B267" i="23" l="1"/>
  <c r="E266" i="23"/>
  <c r="F266" i="23"/>
  <c r="F267" i="23" l="1"/>
  <c r="E267" i="23"/>
  <c r="B268" i="23"/>
  <c r="E268" i="23" l="1"/>
  <c r="F268" i="23"/>
  <c r="B269" i="23"/>
  <c r="F269" i="23" l="1"/>
  <c r="B270" i="23"/>
  <c r="E269" i="23"/>
  <c r="B271" i="23" l="1"/>
  <c r="F270" i="23"/>
  <c r="E270" i="23"/>
  <c r="F271" i="23" l="1"/>
  <c r="B272" i="23"/>
  <c r="E271" i="23"/>
  <c r="E272" i="23" l="1"/>
  <c r="B273" i="23"/>
  <c r="F272" i="23"/>
  <c r="B274" i="23" l="1"/>
  <c r="E273" i="23"/>
  <c r="F273" i="23"/>
  <c r="B275" i="23" l="1"/>
  <c r="E274" i="23"/>
  <c r="F274" i="23"/>
  <c r="F275" i="23" l="1"/>
  <c r="E275" i="23"/>
  <c r="B276" i="23"/>
  <c r="E276" i="23" l="1"/>
  <c r="B277" i="23"/>
  <c r="F276" i="23"/>
  <c r="E277" i="23" l="1"/>
  <c r="B278" i="23"/>
  <c r="F277" i="23"/>
  <c r="B279" i="23" l="1"/>
  <c r="F278" i="23"/>
  <c r="E278" i="23"/>
  <c r="F279" i="23" l="1"/>
  <c r="E279" i="23"/>
  <c r="B280" i="23"/>
  <c r="E280" i="23" l="1"/>
  <c r="B281" i="23"/>
  <c r="F280" i="23"/>
  <c r="E281" i="23" l="1"/>
  <c r="B282" i="23"/>
  <c r="F281" i="23"/>
  <c r="B283" i="23" l="1"/>
  <c r="E282" i="23"/>
  <c r="F282" i="23"/>
  <c r="F283" i="23" l="1"/>
  <c r="E283" i="23"/>
  <c r="B284" i="23"/>
  <c r="E284" i="23" l="1"/>
  <c r="F284" i="23"/>
  <c r="B285" i="23"/>
  <c r="F285" i="23" l="1"/>
  <c r="E285" i="23"/>
  <c r="B286" i="23"/>
  <c r="B287" i="23" l="1"/>
  <c r="E286" i="23"/>
  <c r="F286" i="23"/>
  <c r="F287" i="23" l="1"/>
  <c r="B288" i="23"/>
  <c r="E287" i="23"/>
  <c r="E288" i="23" l="1"/>
  <c r="F288" i="23"/>
  <c r="B289" i="23"/>
  <c r="B290" i="23" l="1"/>
  <c r="F289" i="23"/>
  <c r="E289" i="23"/>
  <c r="B291" i="23" l="1"/>
  <c r="F290" i="23"/>
  <c r="E290" i="23"/>
  <c r="F291" i="23" l="1"/>
  <c r="B292" i="23"/>
  <c r="E291" i="23"/>
  <c r="E292" i="23" l="1"/>
  <c r="B293" i="23"/>
  <c r="F292" i="23"/>
  <c r="B294" i="23" l="1"/>
  <c r="F293" i="23"/>
  <c r="E293" i="23"/>
  <c r="B295" i="23" l="1"/>
  <c r="F294" i="23"/>
  <c r="E294" i="23"/>
  <c r="F295" i="23" l="1"/>
  <c r="E295" i="23"/>
  <c r="B296" i="23"/>
  <c r="E296" i="23" l="1"/>
  <c r="F296" i="23"/>
  <c r="B297" i="23"/>
  <c r="E297" i="23" l="1"/>
  <c r="B298" i="23"/>
  <c r="F297" i="23"/>
  <c r="B299" i="23" l="1"/>
  <c r="E298" i="23"/>
  <c r="F298" i="23"/>
  <c r="F299" i="23" l="1"/>
  <c r="E299" i="23"/>
  <c r="B300" i="23"/>
  <c r="E300" i="23" l="1"/>
  <c r="F300" i="23"/>
  <c r="B301" i="23"/>
  <c r="E301" i="23" l="1"/>
  <c r="F301" i="23"/>
  <c r="B302" i="23"/>
  <c r="B303" i="23" l="1"/>
  <c r="F302" i="23"/>
  <c r="E302" i="23"/>
  <c r="F303" i="23" l="1"/>
  <c r="E303" i="23"/>
  <c r="B304" i="23"/>
  <c r="E304" i="23" l="1"/>
  <c r="B305" i="23"/>
  <c r="F304" i="23"/>
  <c r="F305" i="23" l="1"/>
  <c r="B306" i="23"/>
  <c r="E305" i="23"/>
  <c r="B307" i="23" l="1"/>
  <c r="F306" i="23"/>
  <c r="E306" i="23"/>
  <c r="F307" i="23" l="1"/>
  <c r="B308" i="23"/>
  <c r="E307" i="23"/>
  <c r="E308" i="23" l="1"/>
  <c r="B309" i="23"/>
  <c r="F308" i="23"/>
  <c r="B310" i="23" l="1"/>
  <c r="F309" i="23"/>
  <c r="E309" i="23"/>
  <c r="B311" i="23" l="1"/>
  <c r="F310" i="23"/>
  <c r="E310" i="23"/>
  <c r="F311" i="23" l="1"/>
  <c r="E311" i="23"/>
  <c r="B312" i="23"/>
  <c r="E312" i="23" l="1"/>
  <c r="B313" i="23"/>
  <c r="F312" i="23"/>
  <c r="E313" i="23" l="1"/>
  <c r="B314" i="23"/>
  <c r="F313" i="23"/>
  <c r="B315" i="23" l="1"/>
  <c r="E314" i="23"/>
  <c r="F314" i="23"/>
  <c r="F315" i="23" l="1"/>
  <c r="E315" i="23"/>
  <c r="B316" i="23"/>
  <c r="E316" i="23" l="1"/>
  <c r="F316" i="23"/>
  <c r="B317" i="23"/>
  <c r="F317" i="23" l="1"/>
  <c r="E317" i="23"/>
  <c r="B318" i="23"/>
  <c r="B319" i="23" l="1"/>
  <c r="E318" i="23"/>
  <c r="F318" i="23"/>
  <c r="F319" i="23" l="1"/>
  <c r="B320" i="23"/>
  <c r="E319" i="23"/>
  <c r="E320" i="23" l="1"/>
  <c r="F320" i="23"/>
  <c r="B321" i="23"/>
  <c r="B322" i="23" l="1"/>
  <c r="F321" i="23"/>
  <c r="E321" i="23"/>
  <c r="B323" i="23" l="1"/>
  <c r="F322" i="23"/>
  <c r="E322" i="23"/>
  <c r="F323" i="23" l="1"/>
  <c r="B324" i="23"/>
  <c r="E323" i="23"/>
  <c r="E324" i="23" l="1"/>
  <c r="B325" i="23"/>
  <c r="F324" i="23"/>
  <c r="B326" i="23" l="1"/>
  <c r="F325" i="23"/>
  <c r="E325" i="23"/>
  <c r="B327" i="23" l="1"/>
  <c r="F326" i="23"/>
  <c r="E326" i="23"/>
  <c r="F327" i="23" l="1"/>
  <c r="B328" i="23"/>
  <c r="E327" i="23"/>
  <c r="E328" i="23" l="1"/>
  <c r="F328" i="23"/>
  <c r="B329" i="23"/>
  <c r="E329" i="23" l="1"/>
  <c r="B330" i="23"/>
  <c r="F329" i="23"/>
  <c r="B331" i="23" l="1"/>
  <c r="E330" i="23"/>
  <c r="F330" i="23"/>
  <c r="F331" i="23" l="1"/>
  <c r="E331" i="23"/>
  <c r="B332" i="23"/>
  <c r="E332" i="23" l="1"/>
  <c r="F332" i="23"/>
  <c r="B333" i="23"/>
  <c r="E333" i="23" l="1"/>
  <c r="F333" i="23"/>
  <c r="B334" i="23"/>
  <c r="B335" i="23" l="1"/>
  <c r="F334" i="23"/>
  <c r="E334" i="23"/>
  <c r="F335" i="23" l="1"/>
  <c r="E335" i="23"/>
  <c r="B336" i="23"/>
  <c r="E336" i="23" l="1"/>
  <c r="B337" i="23"/>
  <c r="F336" i="23"/>
  <c r="F337" i="23" l="1"/>
  <c r="B338" i="23"/>
  <c r="E337" i="23"/>
  <c r="B339" i="23" l="1"/>
  <c r="F338" i="23"/>
  <c r="E338" i="23"/>
  <c r="F339" i="23" l="1"/>
  <c r="B340" i="23"/>
  <c r="E339" i="23"/>
  <c r="E340" i="23" l="1"/>
  <c r="B341" i="23"/>
  <c r="F340" i="23"/>
  <c r="B342" i="23" l="1"/>
  <c r="E341" i="23"/>
  <c r="F341" i="23"/>
  <c r="B343" i="23" l="1"/>
  <c r="F342" i="23"/>
  <c r="E342" i="23"/>
  <c r="F343" i="23" l="1"/>
  <c r="B344" i="23"/>
  <c r="E343" i="23"/>
  <c r="E344" i="23" l="1"/>
  <c r="B345" i="23"/>
  <c r="F344" i="23"/>
  <c r="E345" i="23" l="1"/>
  <c r="F345" i="23"/>
  <c r="B346" i="23"/>
  <c r="B347" i="23" l="1"/>
  <c r="E346" i="23"/>
  <c r="F346" i="23"/>
  <c r="F347" i="23" l="1"/>
  <c r="E347" i="23"/>
  <c r="B348" i="23"/>
  <c r="E348" i="23" l="1"/>
  <c r="F348" i="23"/>
  <c r="B349" i="23"/>
  <c r="F349" i="23" l="1"/>
  <c r="E349" i="23"/>
  <c r="B350" i="23"/>
  <c r="B351" i="23" l="1"/>
  <c r="E350" i="23"/>
  <c r="F350" i="23"/>
  <c r="F351" i="23" l="1"/>
  <c r="B352" i="23"/>
  <c r="E351" i="23"/>
  <c r="E352" i="23" l="1"/>
  <c r="F352" i="23"/>
  <c r="B353" i="23"/>
  <c r="B354" i="23" l="1"/>
  <c r="F353" i="23"/>
  <c r="E353" i="23"/>
  <c r="B355" i="23" l="1"/>
  <c r="F354" i="23"/>
  <c r="E354" i="23"/>
  <c r="F355" i="23" l="1"/>
  <c r="B356" i="23"/>
  <c r="E355" i="23"/>
  <c r="E356" i="23" l="1"/>
  <c r="B357" i="23"/>
  <c r="F356" i="23"/>
  <c r="B358" i="23" l="1"/>
  <c r="F357" i="23"/>
  <c r="E357" i="23"/>
  <c r="B359" i="23" l="1"/>
  <c r="E358" i="23"/>
  <c r="F358" i="23"/>
  <c r="F359" i="23" l="1"/>
  <c r="B360" i="23"/>
  <c r="E359" i="23"/>
  <c r="E360" i="23" l="1"/>
  <c r="B361" i="23"/>
  <c r="F360" i="23"/>
  <c r="E361" i="23" l="1"/>
  <c r="B362" i="23"/>
  <c r="F361" i="23"/>
  <c r="B363" i="23" l="1"/>
  <c r="E362" i="23"/>
  <c r="F362" i="23"/>
  <c r="F363" i="23" l="1"/>
  <c r="E363" i="23"/>
  <c r="B364" i="23"/>
  <c r="E364" i="23" l="1"/>
  <c r="F364" i="23"/>
  <c r="B365" i="23"/>
  <c r="E365" i="23" l="1"/>
  <c r="F365" i="23"/>
  <c r="B366" i="23"/>
  <c r="B367" i="23" l="1"/>
  <c r="F366" i="23"/>
  <c r="E366" i="23"/>
  <c r="F367" i="23" l="1"/>
  <c r="E367" i="23"/>
  <c r="B368" i="23"/>
  <c r="E368" i="23" l="1"/>
  <c r="B369" i="23"/>
  <c r="F368" i="23"/>
  <c r="F369" i="23" l="1"/>
  <c r="B370" i="23"/>
  <c r="E369" i="23"/>
  <c r="B371" i="23" l="1"/>
  <c r="F370" i="23"/>
  <c r="E370" i="23"/>
  <c r="F371" i="23" l="1"/>
  <c r="B372" i="23"/>
  <c r="E371" i="23"/>
  <c r="E372" i="23" l="1"/>
  <c r="B373" i="23"/>
  <c r="F372" i="23"/>
  <c r="B374" i="23" l="1"/>
  <c r="F373" i="23"/>
  <c r="E373" i="23"/>
  <c r="B375" i="23" l="1"/>
  <c r="F374" i="23"/>
  <c r="E374" i="23"/>
  <c r="F375" i="23" l="1"/>
  <c r="E375" i="23"/>
  <c r="B376" i="23"/>
  <c r="E376" i="23" l="1"/>
  <c r="B377" i="23"/>
  <c r="F376" i="23"/>
  <c r="E377" i="23" l="1"/>
  <c r="F377" i="23"/>
  <c r="B378" i="23"/>
  <c r="B379" i="23" l="1"/>
  <c r="E378" i="23"/>
  <c r="F378" i="23"/>
  <c r="F379" i="23" l="1"/>
  <c r="E379" i="23"/>
  <c r="B380" i="23"/>
  <c r="E380" i="23" l="1"/>
  <c r="F380" i="23"/>
  <c r="B381" i="23"/>
  <c r="F381" i="23" l="1"/>
  <c r="E381" i="23"/>
  <c r="B382" i="23"/>
  <c r="B383" i="23" l="1"/>
  <c r="E382" i="23"/>
  <c r="F382" i="23"/>
  <c r="F383" i="23" l="1"/>
  <c r="B384" i="23"/>
  <c r="E383" i="23"/>
  <c r="E384" i="23" l="1"/>
  <c r="F384" i="23"/>
  <c r="B385" i="23"/>
  <c r="B386" i="23" l="1"/>
  <c r="F385" i="23"/>
  <c r="E385" i="23"/>
  <c r="B387" i="23" l="1"/>
  <c r="F386" i="23"/>
  <c r="E386" i="23"/>
  <c r="F387" i="23" l="1"/>
  <c r="B388" i="23"/>
  <c r="E387" i="23"/>
  <c r="E388" i="23" l="1"/>
  <c r="B389" i="23"/>
  <c r="F388" i="23"/>
  <c r="B390" i="23" l="1"/>
  <c r="F389" i="23"/>
  <c r="E389" i="23"/>
  <c r="B391" i="23" l="1"/>
  <c r="F390" i="23"/>
  <c r="E390" i="23"/>
  <c r="F391" i="23" l="1"/>
  <c r="B392" i="23"/>
  <c r="E391" i="23"/>
  <c r="E392" i="23" l="1"/>
  <c r="F392" i="23"/>
  <c r="B393" i="23"/>
  <c r="B394" i="23" l="1"/>
  <c r="E393" i="23"/>
  <c r="F393" i="23"/>
  <c r="F394" i="23" l="1"/>
  <c r="B395" i="23"/>
  <c r="E394" i="23"/>
  <c r="E395" i="23" l="1"/>
  <c r="B396" i="23"/>
  <c r="F395" i="23"/>
  <c r="E396" i="23" l="1"/>
  <c r="B397" i="23"/>
  <c r="F396" i="23"/>
  <c r="B398" i="23" l="1"/>
  <c r="E397" i="23"/>
  <c r="F397" i="23"/>
  <c r="F398" i="23" l="1"/>
  <c r="E398" i="23"/>
  <c r="B399" i="23"/>
  <c r="E399" i="23" l="1"/>
  <c r="F399" i="23"/>
  <c r="B400" i="23"/>
  <c r="F400" i="23" l="1"/>
  <c r="E400" i="23"/>
  <c r="B401" i="23"/>
  <c r="B402" i="23" l="1"/>
  <c r="F401" i="23"/>
  <c r="E401" i="23"/>
  <c r="F402" i="23" l="1"/>
  <c r="B403" i="23"/>
  <c r="E402" i="23"/>
  <c r="E403" i="23" l="1"/>
  <c r="B404" i="23"/>
  <c r="F403" i="23"/>
  <c r="F404" i="23" l="1"/>
  <c r="B405" i="23"/>
  <c r="E404" i="23"/>
  <c r="B406" i="23" l="1"/>
  <c r="E405" i="23"/>
  <c r="F405" i="23"/>
  <c r="F406" i="23" l="1"/>
  <c r="B407" i="23"/>
  <c r="E406" i="23"/>
  <c r="B408" i="23" l="1"/>
  <c r="E407" i="23"/>
  <c r="F407" i="23"/>
  <c r="F408" i="23" l="1"/>
  <c r="B409" i="23"/>
  <c r="E408" i="23"/>
  <c r="B410" i="23" l="1"/>
  <c r="E409" i="23"/>
  <c r="F409" i="23"/>
  <c r="F410" i="23" l="1"/>
  <c r="E410" i="23"/>
  <c r="B411" i="23"/>
  <c r="E411" i="23" l="1"/>
  <c r="B412" i="23"/>
  <c r="F411" i="23"/>
  <c r="F412" i="23" l="1"/>
  <c r="E412" i="23"/>
  <c r="B413" i="23"/>
  <c r="B414" i="23" l="1"/>
  <c r="E413" i="23"/>
  <c r="F413" i="23"/>
  <c r="F414" i="23" l="1"/>
  <c r="B415" i="23"/>
  <c r="E414" i="23"/>
  <c r="B416" i="23" l="1"/>
  <c r="E415" i="23"/>
  <c r="F415" i="23"/>
  <c r="F416" i="23" l="1"/>
  <c r="B417" i="23"/>
  <c r="E416" i="23"/>
  <c r="B418" i="23" l="1"/>
  <c r="E417" i="23"/>
  <c r="F417" i="23"/>
  <c r="F418" i="23" l="1"/>
  <c r="E418" i="23"/>
  <c r="B419" i="23"/>
  <c r="E419" i="23" l="1"/>
  <c r="B420" i="23"/>
  <c r="F419" i="23"/>
  <c r="F420" i="23" l="1"/>
  <c r="E420" i="23"/>
  <c r="B421" i="23"/>
  <c r="B422" i="23" l="1"/>
  <c r="E421" i="23"/>
  <c r="F421" i="23"/>
  <c r="F422" i="23" l="1"/>
  <c r="E422" i="23"/>
  <c r="B423" i="23"/>
  <c r="B424" i="23" l="1"/>
  <c r="E423" i="23"/>
  <c r="F423" i="23"/>
  <c r="F424" i="23" l="1"/>
  <c r="B425" i="23"/>
  <c r="E424" i="23"/>
  <c r="B426" i="23" l="1"/>
  <c r="E425" i="23"/>
  <c r="F425" i="23"/>
  <c r="F426" i="23" l="1"/>
  <c r="E426" i="23"/>
  <c r="B427" i="23"/>
  <c r="E427" i="23" l="1"/>
  <c r="B428" i="23"/>
  <c r="F427" i="23"/>
  <c r="B429" i="23" l="1"/>
  <c r="E428" i="23"/>
  <c r="F428" i="23"/>
  <c r="B430" i="23" l="1"/>
  <c r="E429" i="23"/>
  <c r="F429" i="23"/>
  <c r="F430" i="23" l="1"/>
  <c r="E430" i="23"/>
  <c r="B431" i="23"/>
  <c r="E431" i="23" l="1"/>
  <c r="F431" i="23"/>
  <c r="B432" i="23"/>
  <c r="F432" i="23" l="1"/>
  <c r="E432" i="23"/>
  <c r="B433" i="23"/>
  <c r="B434" i="23" l="1"/>
  <c r="F433" i="23"/>
  <c r="E433" i="23"/>
  <c r="F434" i="23" l="1"/>
  <c r="B435" i="23"/>
  <c r="E434" i="23"/>
  <c r="E435" i="23" l="1"/>
  <c r="B436" i="23"/>
  <c r="F435" i="23"/>
  <c r="B437" i="23" l="1"/>
  <c r="E436" i="23"/>
  <c r="F436" i="23"/>
  <c r="B438" i="23" l="1"/>
  <c r="E437" i="23"/>
  <c r="F437" i="23"/>
  <c r="F438" i="23" l="1"/>
  <c r="E438" i="23"/>
  <c r="B439" i="23"/>
  <c r="E439" i="23" l="1"/>
  <c r="F439" i="23"/>
  <c r="B440" i="23"/>
  <c r="F440" i="23" l="1"/>
  <c r="B441" i="23"/>
  <c r="E440" i="23"/>
  <c r="B442" i="23" l="1"/>
  <c r="F441" i="23"/>
  <c r="E441" i="23"/>
  <c r="F442" i="23" l="1"/>
  <c r="B443" i="23"/>
  <c r="E442" i="23"/>
  <c r="E443" i="23" l="1"/>
  <c r="B444" i="23"/>
  <c r="F443" i="23"/>
  <c r="E444" i="23" l="1"/>
  <c r="B445" i="23"/>
  <c r="F444" i="23"/>
  <c r="B446" i="23" l="1"/>
  <c r="E445" i="23"/>
  <c r="F445" i="23"/>
  <c r="F446" i="23" l="1"/>
  <c r="E446" i="23"/>
  <c r="B447" i="23"/>
  <c r="E447" i="23" l="1"/>
  <c r="F447" i="23"/>
  <c r="B448" i="23"/>
  <c r="F448" i="23" l="1"/>
  <c r="E448" i="23"/>
  <c r="B449" i="23"/>
  <c r="B450" i="23" l="1"/>
  <c r="F449" i="23"/>
  <c r="E449" i="23"/>
  <c r="F450" i="23" l="1"/>
  <c r="B451" i="23"/>
  <c r="E450" i="23"/>
  <c r="E451" i="23" l="1"/>
  <c r="B452" i="23"/>
  <c r="F451" i="23"/>
  <c r="B453" i="23" l="1"/>
  <c r="E452" i="23"/>
  <c r="F452" i="23"/>
  <c r="B454" i="23" l="1"/>
  <c r="E453" i="23"/>
  <c r="F453" i="23"/>
  <c r="F454" i="23" l="1"/>
  <c r="E454" i="23"/>
  <c r="B455" i="23"/>
  <c r="E455" i="23" l="1"/>
  <c r="F455" i="23"/>
  <c r="B456" i="23"/>
  <c r="F456" i="23" l="1"/>
  <c r="B457" i="23"/>
  <c r="E456" i="23"/>
  <c r="B458" i="23" l="1"/>
  <c r="F457" i="23"/>
  <c r="E457" i="23"/>
  <c r="F458" i="23" l="1"/>
  <c r="B459" i="23"/>
  <c r="E458" i="23"/>
  <c r="E459" i="23" l="1"/>
  <c r="B460" i="23"/>
  <c r="F459" i="23"/>
  <c r="B461" i="23" l="1"/>
  <c r="E460" i="23"/>
  <c r="F460" i="23"/>
  <c r="E461" i="23" l="1"/>
  <c r="F461" i="23"/>
  <c r="B462" i="23"/>
  <c r="E462" i="23" l="1"/>
  <c r="B463" i="23"/>
  <c r="F462" i="23"/>
  <c r="F463" i="23" l="1"/>
  <c r="B464" i="23"/>
  <c r="E463" i="23"/>
  <c r="F464" i="23" l="1"/>
  <c r="E464" i="23"/>
  <c r="B465" i="23"/>
  <c r="F465" i="23" l="1"/>
  <c r="B466" i="23"/>
  <c r="E465" i="23"/>
  <c r="E466" i="23" l="1"/>
  <c r="F466" i="23"/>
  <c r="B467" i="23"/>
  <c r="B468" i="23" l="1"/>
  <c r="E467" i="23"/>
  <c r="F467" i="23"/>
  <c r="B469" i="23" l="1"/>
  <c r="E468" i="23"/>
  <c r="F468" i="23"/>
  <c r="E469" i="23" l="1"/>
  <c r="F469" i="23"/>
  <c r="B470" i="23"/>
  <c r="E470" i="23" l="1"/>
  <c r="F470" i="23"/>
  <c r="B471" i="23"/>
  <c r="F471" i="23" l="1"/>
  <c r="E471" i="23"/>
  <c r="B472" i="23"/>
  <c r="F472" i="23" l="1"/>
  <c r="B473" i="23"/>
  <c r="E472" i="23"/>
  <c r="F473" i="23" l="1"/>
  <c r="B474" i="23"/>
  <c r="E473" i="23"/>
  <c r="B475" i="23" l="1"/>
  <c r="E474" i="23"/>
  <c r="F474" i="23"/>
  <c r="B476" i="23" l="1"/>
  <c r="F475" i="23"/>
  <c r="E475" i="23"/>
  <c r="B477" i="23" l="1"/>
  <c r="E476" i="23"/>
  <c r="F476" i="23"/>
  <c r="E477" i="23" l="1"/>
  <c r="B478" i="23"/>
  <c r="F477" i="23"/>
  <c r="E478" i="23" l="1"/>
  <c r="F478" i="23"/>
  <c r="B479" i="23"/>
  <c r="B480" i="23" l="1"/>
  <c r="E479" i="23"/>
  <c r="F479" i="23"/>
  <c r="F480" i="23" l="1"/>
  <c r="B481" i="23"/>
  <c r="E480" i="23"/>
  <c r="F481" i="23" l="1"/>
  <c r="E481" i="23"/>
  <c r="B482" i="23"/>
  <c r="E482" i="23" l="1"/>
  <c r="B483" i="23"/>
  <c r="F482" i="23"/>
  <c r="B484" i="23" l="1"/>
  <c r="E483" i="23"/>
  <c r="F483" i="23"/>
  <c r="B485" i="23" l="1"/>
  <c r="E484" i="23"/>
  <c r="F484" i="23"/>
  <c r="E485" i="23" l="1"/>
  <c r="F485" i="23"/>
  <c r="B486" i="23"/>
  <c r="E486" i="23" l="1"/>
  <c r="F486" i="23"/>
  <c r="B487" i="23"/>
  <c r="F487" i="23" l="1"/>
  <c r="B488" i="23"/>
  <c r="E487" i="23"/>
  <c r="F488" i="23" l="1"/>
  <c r="B489" i="23"/>
  <c r="E488" i="23"/>
  <c r="F489" i="23" l="1"/>
  <c r="B490" i="23"/>
  <c r="E489" i="23"/>
  <c r="B491" i="23" l="1"/>
  <c r="F490" i="23"/>
  <c r="E490" i="23"/>
  <c r="B492" i="23" l="1"/>
  <c r="E491" i="23"/>
  <c r="F491" i="23"/>
  <c r="B493" i="23" l="1"/>
  <c r="F492" i="23"/>
  <c r="E492" i="23"/>
  <c r="E493" i="23" l="1"/>
  <c r="F493" i="23"/>
  <c r="B494" i="23"/>
  <c r="E494" i="23" l="1"/>
  <c r="B495" i="23"/>
  <c r="F494" i="23"/>
  <c r="F495" i="23" l="1"/>
  <c r="E495" i="23"/>
  <c r="B496" i="23"/>
  <c r="F496" i="23" l="1"/>
  <c r="E496" i="23"/>
  <c r="B497" i="23"/>
  <c r="F497" i="23" l="1"/>
  <c r="B498" i="23"/>
  <c r="E497" i="23"/>
  <c r="E498" i="23" l="1"/>
  <c r="F498" i="23"/>
  <c r="B499" i="23"/>
  <c r="B500" i="23" l="1"/>
  <c r="E499" i="23"/>
  <c r="F499" i="23"/>
  <c r="B501" i="23" l="1"/>
  <c r="E500" i="23"/>
  <c r="F500" i="23"/>
  <c r="E501" i="23" l="1"/>
  <c r="F501" i="23"/>
  <c r="B502" i="23"/>
  <c r="E502" i="23" l="1"/>
  <c r="F502" i="23"/>
  <c r="B503" i="23"/>
  <c r="F503" i="23" l="1"/>
  <c r="E503" i="23"/>
  <c r="B504" i="23"/>
  <c r="F504" i="23" l="1"/>
  <c r="B505" i="23"/>
  <c r="E504" i="23"/>
  <c r="F505" i="23" l="1"/>
  <c r="B506" i="23"/>
  <c r="E505" i="23"/>
  <c r="B507" i="23" l="1"/>
  <c r="E506" i="23"/>
  <c r="F506" i="23"/>
  <c r="B508" i="23" l="1"/>
  <c r="F507" i="23"/>
  <c r="E507" i="23"/>
  <c r="F508" i="23" l="1"/>
  <c r="E508" i="23"/>
  <c r="B509" i="23"/>
  <c r="B510" i="23" l="1"/>
  <c r="E509" i="23"/>
  <c r="F509" i="23"/>
  <c r="F510" i="23" l="1"/>
  <c r="B511" i="23"/>
  <c r="E510" i="23"/>
  <c r="B512" i="23" l="1"/>
  <c r="E511" i="23"/>
  <c r="F511" i="23"/>
  <c r="E512" i="23" l="1"/>
  <c r="F512" i="23"/>
  <c r="B513" i="23"/>
  <c r="B514" i="23" l="1"/>
  <c r="E513" i="23"/>
  <c r="F513" i="23"/>
  <c r="B515" i="23" l="1"/>
  <c r="E514" i="23"/>
  <c r="F514" i="23"/>
  <c r="E515" i="23" l="1"/>
  <c r="F515" i="23"/>
  <c r="B516" i="23"/>
  <c r="F516" i="23" l="1"/>
  <c r="E516" i="23"/>
  <c r="B517" i="23"/>
  <c r="F517" i="23" l="1"/>
  <c r="B518" i="23"/>
  <c r="E517" i="23"/>
  <c r="F518" i="23" l="1"/>
  <c r="E518" i="23"/>
  <c r="B519" i="23"/>
  <c r="B520" i="23" l="1"/>
  <c r="F519" i="23"/>
  <c r="E519" i="23"/>
  <c r="F520" i="23" l="1"/>
  <c r="B521" i="23"/>
  <c r="E520" i="23"/>
  <c r="B522" i="23" l="1"/>
  <c r="E521" i="23"/>
  <c r="F521" i="23"/>
  <c r="F522" i="23" l="1"/>
  <c r="B523" i="23"/>
  <c r="E522" i="23"/>
  <c r="E523" i="23" l="1"/>
  <c r="F523" i="23"/>
  <c r="B524" i="23"/>
  <c r="F524" i="23" l="1"/>
  <c r="B525" i="23"/>
  <c r="E524" i="23"/>
  <c r="F525" i="23" l="1"/>
  <c r="E525" i="23"/>
  <c r="B526" i="23"/>
  <c r="F526" i="23" l="1"/>
  <c r="E526" i="23"/>
  <c r="B527" i="23"/>
  <c r="B528" i="23" l="1"/>
  <c r="F527" i="23"/>
  <c r="E527" i="23"/>
  <c r="E528" i="23" l="1"/>
  <c r="F528" i="23"/>
  <c r="B529" i="23"/>
  <c r="B530" i="23" l="1"/>
  <c r="E529" i="23"/>
  <c r="F529" i="23"/>
  <c r="E530" i="23" l="1"/>
  <c r="F530" i="23"/>
  <c r="B531" i="23"/>
  <c r="E531" i="23" l="1"/>
  <c r="F531" i="23"/>
  <c r="B532" i="23"/>
  <c r="F532" i="23" l="1"/>
  <c r="E532" i="23"/>
  <c r="B533" i="23"/>
  <c r="E533" i="23" l="1"/>
  <c r="F533" i="23"/>
  <c r="B534" i="23"/>
  <c r="F534" i="23" l="1"/>
  <c r="B535" i="23"/>
  <c r="E534" i="23"/>
  <c r="B536" i="23" l="1"/>
  <c r="E535" i="23"/>
  <c r="F535" i="23"/>
  <c r="B537" i="23" l="1"/>
  <c r="E536" i="23"/>
  <c r="F536" i="23"/>
  <c r="B538" i="23" l="1"/>
  <c r="E537" i="23"/>
  <c r="F537" i="23"/>
  <c r="B539" i="23" l="1"/>
  <c r="F538" i="23"/>
  <c r="E538" i="23"/>
  <c r="E539" i="23" l="1"/>
  <c r="B540" i="23"/>
  <c r="F539" i="23"/>
  <c r="F540" i="23" l="1"/>
  <c r="E540" i="23"/>
  <c r="B541" i="23"/>
  <c r="B542" i="23" l="1"/>
  <c r="F541" i="23"/>
  <c r="E541" i="23"/>
  <c r="F542" i="23" l="1"/>
  <c r="B543" i="23"/>
  <c r="E542" i="23"/>
  <c r="B544" i="23" l="1"/>
  <c r="E543" i="23"/>
  <c r="F543" i="23"/>
  <c r="B545" i="23" l="1"/>
  <c r="F544" i="23"/>
  <c r="E544" i="23"/>
  <c r="B546" i="23" l="1"/>
  <c r="E545" i="23"/>
  <c r="F545" i="23"/>
  <c r="E546" i="23" l="1"/>
  <c r="F546" i="23"/>
  <c r="B547" i="23"/>
  <c r="E547" i="23" l="1"/>
  <c r="F547" i="23"/>
  <c r="B548" i="23"/>
  <c r="F548" i="23" l="1"/>
  <c r="E548" i="23"/>
  <c r="B549" i="23"/>
  <c r="E549" i="23" l="1"/>
  <c r="B550" i="23"/>
  <c r="F549" i="23"/>
  <c r="F550" i="23" l="1"/>
  <c r="B551" i="23"/>
  <c r="E550" i="23"/>
  <c r="B552" i="23" l="1"/>
  <c r="F551" i="23"/>
  <c r="E551" i="23"/>
  <c r="F552" i="23" l="1"/>
  <c r="E552" i="23"/>
  <c r="B553" i="23"/>
  <c r="B554" i="23" l="1"/>
  <c r="E553" i="23"/>
  <c r="F553" i="23"/>
  <c r="B555" i="23" l="1"/>
  <c r="E554" i="23"/>
  <c r="F554" i="23"/>
  <c r="B556" i="23" l="1"/>
  <c r="E555" i="23"/>
  <c r="F555" i="23"/>
  <c r="F556" i="23" l="1"/>
  <c r="E556" i="23"/>
  <c r="B557" i="23"/>
  <c r="E557" i="23" l="1"/>
  <c r="F557" i="23"/>
  <c r="B558" i="23"/>
  <c r="F558" i="23" l="1"/>
  <c r="E558" i="23"/>
  <c r="B559" i="23"/>
  <c r="B560" i="23" l="1"/>
  <c r="E559" i="23"/>
  <c r="F559" i="23"/>
  <c r="F560" i="23" l="1"/>
  <c r="B561" i="23"/>
  <c r="E560" i="23"/>
  <c r="B562" i="23" l="1"/>
  <c r="E561" i="23"/>
  <c r="F561" i="23"/>
  <c r="F562" i="23" l="1"/>
  <c r="B563" i="23"/>
  <c r="E562" i="23"/>
  <c r="B564" i="23" l="1"/>
  <c r="E563" i="23"/>
  <c r="F563" i="23"/>
  <c r="F564" i="23" l="1"/>
  <c r="E564" i="23"/>
  <c r="B565" i="23"/>
  <c r="E565" i="23" l="1"/>
  <c r="F565" i="23"/>
  <c r="B566" i="23"/>
  <c r="F566" i="23" l="1"/>
  <c r="E566" i="23"/>
  <c r="B567" i="23"/>
  <c r="B568" i="23" l="1"/>
  <c r="F567" i="23"/>
  <c r="E567" i="23"/>
  <c r="F568" i="23" l="1"/>
  <c r="B569" i="23"/>
  <c r="E568" i="23"/>
  <c r="B570" i="23" l="1"/>
  <c r="E569" i="23"/>
  <c r="F569" i="23"/>
  <c r="E570" i="23" l="1"/>
  <c r="B571" i="23"/>
  <c r="F570" i="23"/>
  <c r="B572" i="23" l="1"/>
  <c r="E571" i="23"/>
  <c r="F571" i="23"/>
  <c r="B573" i="23" l="1"/>
  <c r="F572" i="23"/>
  <c r="E572" i="23"/>
  <c r="F573" i="23" l="1"/>
  <c r="B574" i="23"/>
  <c r="E573" i="23"/>
  <c r="E574" i="23" l="1"/>
  <c r="F574" i="23"/>
  <c r="B575" i="23"/>
  <c r="B576" i="23" l="1"/>
  <c r="F575" i="23"/>
  <c r="E575" i="23"/>
  <c r="B577" i="23" l="1"/>
  <c r="E576" i="23"/>
  <c r="F576" i="23"/>
  <c r="F577" i="23" l="1"/>
  <c r="E577" i="23"/>
  <c r="B578" i="23"/>
  <c r="E578" i="23" l="1"/>
  <c r="B579" i="23"/>
  <c r="F578" i="23"/>
  <c r="F579" i="23" l="1"/>
  <c r="B580" i="23"/>
  <c r="E579" i="23"/>
  <c r="B581" i="23" l="1"/>
  <c r="F580" i="23"/>
  <c r="E580" i="23"/>
  <c r="F581" i="23" l="1"/>
  <c r="E581" i="23"/>
  <c r="B582" i="23"/>
  <c r="E582" i="23" l="1"/>
  <c r="B583" i="23"/>
  <c r="F582" i="23"/>
  <c r="B584" i="23" l="1"/>
  <c r="F583" i="23"/>
  <c r="E583" i="23"/>
  <c r="B585" i="23" l="1"/>
  <c r="F584" i="23"/>
  <c r="E584" i="23"/>
  <c r="F585" i="23" l="1"/>
  <c r="E585" i="23"/>
  <c r="B586" i="23"/>
  <c r="E586" i="23" l="1"/>
  <c r="F586" i="23"/>
  <c r="B587" i="23"/>
  <c r="B588" i="23" l="1"/>
  <c r="E587" i="23"/>
  <c r="F587" i="23"/>
  <c r="B589" i="23" l="1"/>
  <c r="F588" i="23"/>
  <c r="E588" i="23"/>
  <c r="F589" i="23" l="1"/>
  <c r="B590" i="23"/>
  <c r="E589" i="23"/>
  <c r="E590" i="23" l="1"/>
  <c r="F590" i="23"/>
  <c r="B591" i="23"/>
  <c r="B592" i="23" l="1"/>
  <c r="F591" i="23"/>
  <c r="E591" i="23"/>
  <c r="B593" i="23" l="1"/>
  <c r="E592" i="23"/>
  <c r="F592" i="23"/>
  <c r="F593" i="23" l="1"/>
  <c r="E593" i="23"/>
  <c r="B594" i="23"/>
  <c r="E594" i="23" l="1"/>
  <c r="B595" i="23"/>
  <c r="F594" i="23"/>
  <c r="F595" i="23" l="1"/>
  <c r="E595" i="23"/>
  <c r="B596" i="23"/>
  <c r="B597" i="23" l="1"/>
  <c r="F596" i="23"/>
  <c r="E596" i="23"/>
  <c r="F597" i="23" l="1"/>
  <c r="E597" i="23"/>
  <c r="B598" i="23"/>
  <c r="E598" i="23" l="1"/>
  <c r="B599" i="23"/>
  <c r="F598" i="23"/>
  <c r="B600" i="23" l="1"/>
  <c r="E599" i="23"/>
  <c r="F599" i="23"/>
  <c r="B601" i="23" l="1"/>
  <c r="F600" i="23"/>
  <c r="E600" i="23"/>
  <c r="F601" i="23" l="1"/>
  <c r="E601" i="23"/>
  <c r="B602" i="23"/>
  <c r="E602" i="23" l="1"/>
  <c r="F602" i="23"/>
  <c r="B603" i="23"/>
  <c r="E603" i="23" l="1"/>
  <c r="B604" i="23"/>
  <c r="F603" i="23"/>
  <c r="B605" i="23" l="1"/>
  <c r="F604" i="23"/>
  <c r="E604" i="23"/>
  <c r="F605" i="23" l="1"/>
  <c r="B606" i="23"/>
  <c r="E605" i="23"/>
  <c r="E606" i="23" l="1"/>
  <c r="B607" i="23"/>
  <c r="F606" i="23"/>
  <c r="B608" i="23" l="1"/>
  <c r="F607" i="23"/>
  <c r="E607" i="23"/>
  <c r="B609" i="23" l="1"/>
  <c r="E608" i="23"/>
  <c r="F608" i="23"/>
  <c r="F609" i="23" l="1"/>
  <c r="E609" i="23"/>
  <c r="B610" i="23"/>
  <c r="E610" i="23" l="1"/>
  <c r="B611" i="23"/>
  <c r="F610" i="23"/>
  <c r="E611" i="23" l="1"/>
  <c r="F611" i="23"/>
  <c r="B612" i="23"/>
  <c r="B613" i="23" l="1"/>
  <c r="F612" i="23"/>
  <c r="E612" i="23"/>
  <c r="F613" i="23" l="1"/>
  <c r="E613" i="23"/>
  <c r="B614" i="23"/>
  <c r="E614" i="23" l="1"/>
  <c r="B615" i="23"/>
  <c r="F614" i="23"/>
  <c r="B616" i="23" l="1"/>
  <c r="E615" i="23"/>
  <c r="F615" i="23"/>
  <c r="B617" i="23" l="1"/>
  <c r="F616" i="23"/>
  <c r="E616" i="23"/>
  <c r="F617" i="23" l="1"/>
  <c r="E617" i="23"/>
  <c r="B618" i="23"/>
  <c r="E618" i="23" l="1"/>
  <c r="F618" i="23"/>
  <c r="B619" i="23"/>
  <c r="B620" i="23" l="1"/>
  <c r="E619" i="23"/>
  <c r="F619" i="23"/>
  <c r="B621" i="23" l="1"/>
  <c r="F620" i="23"/>
  <c r="E620" i="23"/>
  <c r="F621" i="23" l="1"/>
  <c r="E621" i="23"/>
  <c r="B622" i="23"/>
  <c r="E622" i="23" l="1"/>
  <c r="F622" i="23"/>
  <c r="B623" i="23"/>
  <c r="B624" i="23" l="1"/>
  <c r="F623" i="23"/>
  <c r="E623" i="23"/>
  <c r="B625" i="23" l="1"/>
  <c r="F624" i="23"/>
  <c r="E624" i="23"/>
  <c r="F625" i="23" l="1"/>
  <c r="E625" i="23"/>
  <c r="B626" i="23"/>
  <c r="E626" i="23" l="1"/>
  <c r="F626" i="23"/>
  <c r="B627" i="23"/>
  <c r="F627" i="23" l="1"/>
  <c r="E627" i="23"/>
  <c r="B628" i="23"/>
  <c r="B629" i="23" l="1"/>
  <c r="F628" i="23"/>
  <c r="E628" i="23"/>
  <c r="F629" i="23" l="1"/>
  <c r="E629" i="23"/>
  <c r="B630" i="23"/>
  <c r="E630" i="23" l="1"/>
  <c r="B631" i="23"/>
  <c r="F630" i="23"/>
  <c r="B632" i="23" l="1"/>
  <c r="E631" i="23"/>
  <c r="F631" i="23"/>
  <c r="B633" i="23" l="1"/>
  <c r="F632" i="23"/>
  <c r="E632" i="23"/>
  <c r="F633" i="23" l="1"/>
  <c r="E633" i="23"/>
  <c r="B634" i="23"/>
  <c r="E634" i="23" l="1"/>
  <c r="F634" i="23"/>
  <c r="B635" i="23"/>
  <c r="B636" i="23" l="1"/>
  <c r="E635" i="23"/>
  <c r="F635" i="23"/>
  <c r="B637" i="23" l="1"/>
  <c r="F636" i="23"/>
  <c r="E636" i="23"/>
  <c r="F637" i="23" l="1"/>
  <c r="B638" i="23"/>
  <c r="E637" i="23"/>
  <c r="E638" i="23" l="1"/>
  <c r="F638" i="23"/>
  <c r="B639" i="23"/>
  <c r="B640" i="23" l="1"/>
  <c r="F639" i="23"/>
  <c r="E639" i="23"/>
  <c r="B641" i="23" l="1"/>
  <c r="E640" i="23"/>
  <c r="F640" i="23"/>
  <c r="F641" i="23" l="1"/>
  <c r="E641" i="23"/>
  <c r="B642" i="23"/>
  <c r="E642" i="23" l="1"/>
  <c r="B643" i="23"/>
  <c r="F642" i="23"/>
  <c r="F643" i="23" l="1"/>
  <c r="B644" i="23"/>
  <c r="E643" i="23"/>
  <c r="B645" i="23" l="1"/>
  <c r="F644" i="23"/>
  <c r="E644" i="23"/>
  <c r="F645" i="23" l="1"/>
  <c r="E645" i="23"/>
  <c r="B646" i="23"/>
  <c r="E646" i="23" l="1"/>
  <c r="B647" i="23"/>
  <c r="F646" i="23"/>
  <c r="B648" i="23" l="1"/>
  <c r="F647" i="23"/>
  <c r="E647" i="23"/>
  <c r="B649" i="23" l="1"/>
  <c r="F648" i="23"/>
  <c r="E648" i="23"/>
  <c r="F649" i="23" l="1"/>
  <c r="E649" i="23"/>
  <c r="B650" i="23"/>
  <c r="E650" i="23" l="1"/>
  <c r="F650" i="23"/>
  <c r="B651" i="23"/>
  <c r="B652" i="23" l="1"/>
  <c r="E651" i="23"/>
  <c r="F651" i="23"/>
  <c r="B653" i="23" l="1"/>
  <c r="F652" i="23"/>
  <c r="E652" i="23"/>
  <c r="F653" i="23" l="1"/>
  <c r="B654" i="23"/>
  <c r="E653" i="23"/>
  <c r="E654" i="23" l="1"/>
  <c r="F654" i="23"/>
  <c r="B655" i="23"/>
  <c r="B656" i="23" l="1"/>
  <c r="F655" i="23"/>
  <c r="E655" i="23"/>
  <c r="B657" i="23" l="1"/>
  <c r="E656" i="23"/>
  <c r="F656" i="23"/>
  <c r="F657" i="23" l="1"/>
  <c r="E657" i="23"/>
  <c r="B658" i="23"/>
  <c r="E658" i="23" l="1"/>
  <c r="B659" i="23"/>
  <c r="F658" i="23"/>
  <c r="F659" i="23" l="1"/>
  <c r="E659" i="23"/>
  <c r="B660" i="23"/>
  <c r="B661" i="23" l="1"/>
  <c r="F660" i="23"/>
  <c r="E660" i="23"/>
  <c r="B662" i="23" l="1"/>
  <c r="F661" i="23"/>
  <c r="E661" i="23"/>
  <c r="F662" i="23" l="1"/>
  <c r="E662" i="23"/>
  <c r="B663" i="23"/>
  <c r="E663" i="23" l="1"/>
  <c r="B664" i="23"/>
  <c r="F663" i="23"/>
  <c r="B665" i="23" l="1"/>
  <c r="F664" i="23"/>
  <c r="E664" i="23"/>
  <c r="B666" i="23" l="1"/>
  <c r="F665" i="23"/>
  <c r="E665" i="23"/>
  <c r="F666" i="23" l="1"/>
  <c r="E666" i="23"/>
  <c r="B667" i="23"/>
  <c r="E667" i="23" l="1"/>
  <c r="F667" i="23"/>
  <c r="B668" i="23"/>
  <c r="B669" i="23" l="1"/>
  <c r="F668" i="23"/>
  <c r="E668" i="23"/>
  <c r="B670" i="23" l="1"/>
  <c r="F669" i="23"/>
  <c r="E669" i="23"/>
  <c r="F670" i="23" l="1"/>
  <c r="E670" i="23"/>
  <c r="B671" i="23"/>
  <c r="E671" i="23" l="1"/>
  <c r="B672" i="23"/>
  <c r="F671" i="23"/>
  <c r="B673" i="23" l="1"/>
  <c r="F672" i="23"/>
  <c r="E672" i="23"/>
  <c r="B674" i="23" l="1"/>
  <c r="F673" i="23"/>
  <c r="E673" i="23"/>
  <c r="F674" i="23" l="1"/>
  <c r="E674" i="23"/>
  <c r="B675" i="23"/>
  <c r="E675" i="23" l="1"/>
  <c r="F675" i="23"/>
  <c r="B676" i="23"/>
  <c r="B677" i="23" l="1"/>
  <c r="F676" i="23"/>
  <c r="E676" i="23"/>
  <c r="B678" i="23" l="1"/>
  <c r="F677" i="23"/>
  <c r="E677" i="23"/>
  <c r="F678" i="23" l="1"/>
  <c r="E678" i="23"/>
  <c r="B679" i="23"/>
  <c r="E679" i="23" l="1"/>
  <c r="B680" i="23"/>
  <c r="F679" i="23"/>
  <c r="B681" i="23" l="1"/>
  <c r="E680" i="23"/>
  <c r="F680" i="23"/>
  <c r="B682" i="23" l="1"/>
  <c r="F681" i="23"/>
  <c r="E681" i="23"/>
  <c r="F682" i="23" l="1"/>
  <c r="E682" i="23"/>
  <c r="B683" i="23"/>
  <c r="E683" i="23" l="1"/>
  <c r="B684" i="23"/>
  <c r="F683" i="23"/>
  <c r="B685" i="23" l="1"/>
  <c r="F684" i="23"/>
  <c r="E684" i="23"/>
  <c r="B686" i="23" l="1"/>
  <c r="F685" i="23"/>
  <c r="E685" i="23"/>
  <c r="F686" i="23" l="1"/>
  <c r="E686" i="23"/>
  <c r="B687" i="23"/>
  <c r="E687" i="23" l="1"/>
  <c r="B688" i="23"/>
  <c r="F687" i="23"/>
  <c r="B689" i="23" l="1"/>
  <c r="E688" i="23"/>
  <c r="F688" i="23"/>
  <c r="B690" i="23" l="1"/>
  <c r="F689" i="23"/>
  <c r="E689" i="23"/>
  <c r="F690" i="23" l="1"/>
  <c r="E690" i="23"/>
  <c r="B691" i="23"/>
  <c r="E691" i="23" l="1"/>
  <c r="F691" i="23"/>
  <c r="B692" i="23"/>
  <c r="B693" i="23" l="1"/>
  <c r="F692" i="23"/>
  <c r="E692" i="23"/>
  <c r="B694" i="23" l="1"/>
  <c r="F693" i="23"/>
  <c r="E693" i="23"/>
  <c r="F694" i="23" l="1"/>
  <c r="E694" i="23"/>
  <c r="B695" i="23"/>
  <c r="E695" i="23" l="1"/>
  <c r="B696" i="23"/>
  <c r="F695" i="23"/>
  <c r="B697" i="23" l="1"/>
  <c r="F696" i="23"/>
  <c r="E696" i="23"/>
  <c r="B698" i="23" l="1"/>
  <c r="F697" i="23"/>
  <c r="E697" i="23"/>
  <c r="F698" i="23" l="1"/>
  <c r="E698" i="23"/>
  <c r="B699" i="23"/>
  <c r="E699" i="23" l="1"/>
  <c r="B700" i="23"/>
  <c r="F699" i="23"/>
  <c r="B701" i="23" l="1"/>
  <c r="F700" i="23"/>
  <c r="E700" i="23"/>
  <c r="B702" i="23" l="1"/>
  <c r="F701" i="23"/>
  <c r="E701" i="23"/>
  <c r="F702" i="23" l="1"/>
  <c r="E702" i="23"/>
  <c r="B703" i="23"/>
  <c r="E703" i="23" l="1"/>
  <c r="B704" i="23"/>
  <c r="F703" i="23"/>
  <c r="B705" i="23" l="1"/>
  <c r="E704" i="23"/>
  <c r="F704" i="23"/>
  <c r="B706" i="23" l="1"/>
  <c r="F705" i="23"/>
  <c r="E705" i="23"/>
  <c r="F706" i="23" l="1"/>
  <c r="E706" i="23"/>
  <c r="E22" i="22" l="1"/>
  <c r="A6" i="22"/>
  <c r="B4" i="22"/>
  <c r="A7" i="22" l="1"/>
  <c r="B6" i="22"/>
  <c r="A8" i="22" l="1"/>
  <c r="B7" i="22"/>
  <c r="A9" i="22" l="1"/>
  <c r="B8" i="22"/>
  <c r="A10" i="22" l="1"/>
  <c r="B9" i="22"/>
  <c r="A11" i="22" l="1"/>
  <c r="B10" i="22"/>
  <c r="A12" i="22" l="1"/>
  <c r="B11" i="22"/>
  <c r="B12" i="22" l="1"/>
  <c r="A13" i="22"/>
  <c r="A14" i="22" l="1"/>
  <c r="B13" i="22"/>
  <c r="A15" i="22" l="1"/>
  <c r="B14" i="22"/>
  <c r="A16" i="22" l="1"/>
  <c r="B15" i="22"/>
  <c r="A17" i="22" l="1"/>
  <c r="B16" i="22"/>
  <c r="A18" i="22" l="1"/>
  <c r="B17" i="22"/>
  <c r="A19" i="22" l="1"/>
  <c r="B18" i="22"/>
  <c r="A20" i="22" l="1"/>
  <c r="B19" i="22"/>
  <c r="B20" i="22" l="1"/>
  <c r="A21" i="22"/>
  <c r="A22" i="22" l="1"/>
  <c r="B21" i="22"/>
  <c r="A23" i="22" l="1"/>
  <c r="B22" i="22"/>
  <c r="B23" i="22" l="1"/>
  <c r="A24" i="22"/>
  <c r="A25" i="22" l="1"/>
  <c r="B24" i="22"/>
  <c r="A26" i="22" l="1"/>
  <c r="B25" i="22"/>
  <c r="B26" i="22" l="1"/>
  <c r="A27" i="22"/>
  <c r="B27" i="22" l="1"/>
  <c r="A28" i="22"/>
  <c r="A29" i="22" l="1"/>
  <c r="B28" i="22"/>
  <c r="B29" i="22" l="1"/>
  <c r="A30" i="22"/>
  <c r="A31" i="22" l="1"/>
  <c r="B30" i="22"/>
  <c r="B31" i="22" l="1"/>
  <c r="A32" i="22"/>
  <c r="A33" i="22" l="1"/>
  <c r="B32" i="22"/>
  <c r="A34" i="22" l="1"/>
  <c r="B33" i="22"/>
  <c r="B34" i="22" l="1"/>
  <c r="A35" i="22"/>
  <c r="B35" i="22" l="1"/>
  <c r="A36" i="22"/>
  <c r="B36" i="22" l="1"/>
  <c r="A37" i="22"/>
  <c r="B37" i="22" l="1"/>
  <c r="A38" i="22"/>
  <c r="A39" i="22" l="1"/>
  <c r="B38" i="22"/>
  <c r="B39" i="22" l="1"/>
  <c r="A40" i="22"/>
  <c r="A41" i="22" l="1"/>
  <c r="B40" i="22"/>
  <c r="A42" i="22" l="1"/>
  <c r="B41" i="22"/>
  <c r="B42" i="22" l="1"/>
  <c r="A43" i="22"/>
  <c r="B43" i="22" l="1"/>
  <c r="A44" i="22"/>
  <c r="B44" i="22" l="1"/>
  <c r="A45" i="22"/>
  <c r="A46" i="22" l="1"/>
  <c r="B45" i="22"/>
  <c r="B46" i="22" l="1"/>
  <c r="A47" i="22"/>
  <c r="B47" i="22" l="1"/>
  <c r="A48" i="22"/>
  <c r="A49" i="22" l="1"/>
  <c r="B48" i="22"/>
  <c r="A50" i="22" l="1"/>
  <c r="B49" i="22"/>
  <c r="A51" i="22" l="1"/>
  <c r="B50" i="22"/>
  <c r="B51" i="22" l="1"/>
  <c r="A52" i="22"/>
  <c r="A53" i="22" l="1"/>
  <c r="B52" i="22"/>
  <c r="A54" i="22" l="1"/>
  <c r="B53" i="22"/>
  <c r="B54" i="22" l="1"/>
  <c r="A55" i="22"/>
  <c r="B55" i="22" l="1"/>
  <c r="A56" i="22"/>
  <c r="A57" i="22" l="1"/>
  <c r="B56" i="22"/>
  <c r="A58" i="22" l="1"/>
  <c r="B57" i="22"/>
  <c r="A59" i="22" l="1"/>
  <c r="B58" i="22"/>
  <c r="B59" i="22" l="1"/>
  <c r="A60" i="22"/>
  <c r="A61" i="22" l="1"/>
  <c r="B60" i="22"/>
  <c r="B61" i="22" l="1"/>
  <c r="A62" i="22"/>
  <c r="B62" i="22" l="1"/>
  <c r="A63" i="22"/>
  <c r="B63" i="22" l="1"/>
  <c r="A64" i="22"/>
  <c r="A65" i="22" l="1"/>
  <c r="B64" i="22"/>
  <c r="A66" i="22" l="1"/>
  <c r="B65" i="22"/>
  <c r="A67" i="22" l="1"/>
  <c r="B66" i="22"/>
  <c r="B67" i="22" l="1"/>
  <c r="A68" i="22"/>
  <c r="B68" i="22" l="1"/>
  <c r="A69" i="22"/>
  <c r="B69" i="22" l="1"/>
  <c r="A70" i="22"/>
  <c r="B70" i="22" l="1"/>
  <c r="A71" i="22"/>
  <c r="B71" i="22" l="1"/>
  <c r="A72" i="22"/>
  <c r="A73" i="22" l="1"/>
  <c r="B72" i="22"/>
  <c r="A74" i="22" l="1"/>
  <c r="B73" i="22"/>
  <c r="A75" i="22" l="1"/>
  <c r="B74" i="22"/>
  <c r="B75" i="22" l="1"/>
  <c r="A76" i="22"/>
  <c r="A77" i="22" l="1"/>
  <c r="B76" i="22"/>
  <c r="A78" i="22" l="1"/>
  <c r="B77" i="22"/>
  <c r="B78" i="22" l="1"/>
  <c r="A79" i="22"/>
  <c r="B79" i="22" l="1"/>
  <c r="A80" i="22"/>
  <c r="A81" i="22" l="1"/>
  <c r="B80" i="22"/>
  <c r="A82" i="22" l="1"/>
  <c r="B81" i="22"/>
  <c r="B82" i="22" l="1"/>
  <c r="A83" i="22"/>
  <c r="B83" i="22" l="1"/>
  <c r="A84" i="22"/>
  <c r="A85" i="22" l="1"/>
  <c r="B84" i="22"/>
  <c r="A86" i="22" l="1"/>
  <c r="B85" i="22"/>
  <c r="A87" i="22" l="1"/>
  <c r="B86" i="22"/>
  <c r="B87" i="22" l="1"/>
  <c r="A88" i="22"/>
  <c r="A89" i="22" l="1"/>
  <c r="B88" i="22"/>
  <c r="A90" i="22" l="1"/>
  <c r="B89" i="22"/>
  <c r="B90" i="22" l="1"/>
  <c r="A91" i="22"/>
  <c r="B91" i="22" l="1"/>
  <c r="A92" i="22"/>
  <c r="A93" i="22" l="1"/>
  <c r="B92" i="22"/>
  <c r="B93" i="22" l="1"/>
  <c r="A94" i="22"/>
  <c r="A95" i="22" l="1"/>
  <c r="B94" i="22"/>
  <c r="B95" i="22" l="1"/>
  <c r="A96" i="22"/>
  <c r="A97" i="22" l="1"/>
  <c r="B96" i="22"/>
  <c r="A98" i="22" l="1"/>
  <c r="B97" i="22"/>
  <c r="B98" i="22" l="1"/>
  <c r="A99" i="22"/>
  <c r="B99" i="22" l="1"/>
  <c r="A100" i="22"/>
  <c r="B100" i="22" l="1"/>
  <c r="A101" i="22"/>
  <c r="A102" i="22" l="1"/>
  <c r="B101" i="22"/>
  <c r="A103" i="22" l="1"/>
  <c r="B102" i="22"/>
  <c r="B103" i="22" l="1"/>
  <c r="A104" i="22"/>
  <c r="A105" i="22" l="1"/>
  <c r="B104" i="22"/>
  <c r="A106" i="22" l="1"/>
  <c r="B105" i="22"/>
  <c r="B106" i="22" l="1"/>
  <c r="A107" i="22"/>
  <c r="B107" i="22" l="1"/>
  <c r="A108" i="22"/>
  <c r="B108" i="22" l="1"/>
  <c r="A109" i="22"/>
  <c r="A110" i="22" l="1"/>
  <c r="B109" i="22"/>
  <c r="A111" i="22" l="1"/>
  <c r="B110" i="22"/>
  <c r="B111" i="22" l="1"/>
  <c r="A112" i="22"/>
  <c r="A113" i="22" l="1"/>
  <c r="B112" i="22"/>
  <c r="A114" i="22" l="1"/>
  <c r="B113" i="22"/>
  <c r="B114" i="22" l="1"/>
  <c r="A115" i="22"/>
  <c r="B115" i="22" l="1"/>
  <c r="A116" i="22"/>
  <c r="B116" i="22" l="1"/>
  <c r="A117" i="22"/>
  <c r="A118" i="22" l="1"/>
  <c r="B117" i="22"/>
  <c r="A119" i="22" l="1"/>
  <c r="B118" i="22"/>
  <c r="B119" i="22" l="1"/>
  <c r="A120" i="22"/>
  <c r="B120" i="22" l="1"/>
  <c r="A121" i="22"/>
  <c r="A122" i="22" l="1"/>
  <c r="B121" i="22"/>
  <c r="B122" i="22" l="1"/>
  <c r="A123" i="22"/>
  <c r="B123" i="22" l="1"/>
  <c r="A124" i="22"/>
  <c r="B124" i="22" l="1"/>
  <c r="A125" i="22"/>
  <c r="A126" i="22" l="1"/>
  <c r="B125" i="22"/>
  <c r="A127" i="22" l="1"/>
  <c r="B126" i="22"/>
  <c r="B127" i="22" l="1"/>
  <c r="A128" i="22"/>
  <c r="B128" i="22" l="1"/>
  <c r="A129" i="22"/>
  <c r="A130" i="22" l="1"/>
  <c r="B129" i="22"/>
  <c r="B130" i="22" l="1"/>
  <c r="A131" i="22"/>
  <c r="B131" i="22" l="1"/>
  <c r="A132" i="22"/>
  <c r="B132" i="22" l="1"/>
  <c r="A133" i="22"/>
  <c r="A134" i="22" l="1"/>
  <c r="B133" i="22"/>
  <c r="A135" i="22" l="1"/>
  <c r="B134" i="22"/>
  <c r="B135" i="22" l="1"/>
  <c r="A136" i="22"/>
  <c r="B136" i="22" l="1"/>
  <c r="A137" i="22"/>
  <c r="A138" i="22" l="1"/>
  <c r="B137" i="22"/>
  <c r="B138" i="22" l="1"/>
  <c r="A139" i="22"/>
  <c r="B139" i="22" l="1"/>
  <c r="A140" i="22"/>
  <c r="B140" i="22" l="1"/>
  <c r="A141" i="22"/>
  <c r="A142" i="22" l="1"/>
  <c r="B141" i="22"/>
  <c r="A143" i="22" l="1"/>
  <c r="B142" i="22"/>
  <c r="B143" i="22" l="1"/>
  <c r="A144" i="22"/>
  <c r="B144" i="22" l="1"/>
  <c r="A145" i="22"/>
  <c r="A146" i="22" l="1"/>
  <c r="B145" i="22"/>
  <c r="B146" i="22" l="1"/>
  <c r="A147" i="22"/>
  <c r="B147" i="22" l="1"/>
  <c r="A148" i="22"/>
  <c r="B148" i="22" l="1"/>
  <c r="A149" i="22"/>
  <c r="A150" i="22" l="1"/>
  <c r="B149" i="22"/>
  <c r="B150" i="22" l="1"/>
  <c r="A151" i="22"/>
  <c r="B151" i="22" l="1"/>
  <c r="A152" i="22"/>
  <c r="B152" i="22" l="1"/>
  <c r="A153" i="22"/>
  <c r="A154" i="22" l="1"/>
  <c r="B153" i="22"/>
  <c r="A155" i="22" l="1"/>
  <c r="B154" i="22"/>
  <c r="B155" i="22" l="1"/>
  <c r="A156" i="22"/>
  <c r="B156" i="22" l="1"/>
  <c r="A157" i="22"/>
  <c r="A158" i="22" l="1"/>
  <c r="B157" i="22"/>
  <c r="B158" i="22" l="1"/>
  <c r="A159" i="22"/>
  <c r="B159" i="22" l="1"/>
  <c r="A160" i="22"/>
  <c r="B160" i="22" l="1"/>
  <c r="A161" i="22"/>
  <c r="A162" i="22" l="1"/>
  <c r="B161" i="22"/>
  <c r="A163" i="22" l="1"/>
  <c r="B162" i="22"/>
  <c r="B163" i="22" l="1"/>
  <c r="A164" i="22"/>
  <c r="B164" i="22" l="1"/>
  <c r="A165" i="22"/>
  <c r="A166" i="22" l="1"/>
  <c r="B165" i="22"/>
  <c r="B166" i="22" l="1"/>
  <c r="A167" i="22"/>
  <c r="B167" i="22" l="1"/>
  <c r="A168" i="22"/>
  <c r="B168" i="22" l="1"/>
  <c r="A169" i="22"/>
  <c r="A170" i="22" l="1"/>
  <c r="B169" i="22"/>
  <c r="A171" i="22" l="1"/>
  <c r="B170" i="22"/>
  <c r="B171" i="22" l="1"/>
  <c r="A172" i="22"/>
  <c r="B172" i="22" l="1"/>
  <c r="A173" i="22"/>
  <c r="A174" i="22" l="1"/>
  <c r="B173" i="22"/>
  <c r="B174" i="22" l="1"/>
  <c r="A175" i="22"/>
  <c r="B175" i="22" l="1"/>
  <c r="A176" i="22"/>
  <c r="B176" i="22" l="1"/>
  <c r="A177" i="22"/>
  <c r="A178" i="22" l="1"/>
  <c r="B177" i="22"/>
  <c r="A179" i="22" l="1"/>
  <c r="B178" i="22"/>
  <c r="B179" i="22" l="1"/>
  <c r="A180" i="22"/>
  <c r="B180" i="22" l="1"/>
  <c r="A181" i="22"/>
  <c r="A182" i="22" l="1"/>
  <c r="B181" i="22"/>
  <c r="B182" i="22" l="1"/>
  <c r="A183" i="22"/>
  <c r="B183" i="22" l="1"/>
  <c r="A184" i="22"/>
  <c r="B184" i="22" l="1"/>
  <c r="A185" i="22"/>
  <c r="A186" i="22" l="1"/>
  <c r="B185" i="22"/>
  <c r="A187" i="22" l="1"/>
  <c r="B186" i="22"/>
  <c r="B187" i="22" l="1"/>
  <c r="A188" i="22"/>
  <c r="B188" i="22" l="1"/>
  <c r="A189" i="22"/>
  <c r="A190" i="22" l="1"/>
  <c r="B189" i="22"/>
  <c r="B190" i="22" l="1"/>
  <c r="A191" i="22"/>
  <c r="B191" i="22" l="1"/>
  <c r="A192" i="22"/>
  <c r="B192" i="22" l="1"/>
  <c r="A193" i="22"/>
  <c r="A194" i="22" l="1"/>
  <c r="B193" i="22"/>
  <c r="A195" i="22" l="1"/>
  <c r="B194" i="22"/>
  <c r="B195" i="22" l="1"/>
  <c r="A196" i="22"/>
  <c r="B196" i="22" l="1"/>
  <c r="A197" i="22"/>
  <c r="A198" i="22" l="1"/>
  <c r="B197" i="22"/>
  <c r="B198" i="22" l="1"/>
  <c r="A199" i="22"/>
  <c r="B199" i="22" l="1"/>
  <c r="A200" i="22"/>
  <c r="B200" i="22" l="1"/>
  <c r="A201" i="22"/>
  <c r="A202" i="22" l="1"/>
  <c r="B201" i="22"/>
  <c r="B202" i="22" l="1"/>
  <c r="A203" i="22"/>
  <c r="A204" i="22" l="1"/>
  <c r="B203" i="22"/>
  <c r="B204" i="22" l="1"/>
  <c r="A205" i="22"/>
  <c r="A206" i="22" l="1"/>
  <c r="B206" i="22" s="1"/>
  <c r="B205" i="22"/>
  <c r="B3" i="20"/>
</calcChain>
</file>

<file path=xl/sharedStrings.xml><?xml version="1.0" encoding="utf-8"?>
<sst xmlns="http://schemas.openxmlformats.org/spreadsheetml/2006/main" count="32" uniqueCount="13">
  <si>
    <t>a</t>
  </si>
  <si>
    <t>b</t>
  </si>
  <si>
    <t>y</t>
  </si>
  <si>
    <t>t</t>
  </si>
  <si>
    <t>x</t>
  </si>
  <si>
    <t>X</t>
  </si>
  <si>
    <t>Y</t>
  </si>
  <si>
    <t>Z</t>
  </si>
  <si>
    <t>Start/Stop</t>
  </si>
  <si>
    <t>Areas</t>
  </si>
  <si>
    <t>Speed</t>
  </si>
  <si>
    <t>Iteration</t>
  </si>
  <si>
    <t>press CTRL+SHIFT+H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</si>
</sst>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 : &quot;General"/>
  </numFmts>
  <fonts count="8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charset val="1"/>
      <scheme val="minor"/>
    </font>
    <font>
      <b/>
      <sz val="3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3">
    <xf numFmtId="0" fontId="0" fillId="0" borderId="0" xfId="0"/>
    <xf numFmtId="0" fontId="2" fillId="0" borderId="2" xfId="0" applyFont="1" applyBorder="1" applyAlignment="1">
      <alignment horizontal="left" vertical="top" wrapText="1"/>
    </xf>
    <xf numFmtId="3" fontId="3" fillId="0" borderId="1" xfId="0" applyNumberFormat="1" applyFont="1" applyBorder="1" applyAlignment="1">
      <alignment horizontal="left"/>
    </xf>
    <xf numFmtId="0" fontId="0" fillId="0" borderId="3" xfId="0" applyBorder="1"/>
    <xf numFmtId="0" fontId="0" fillId="0" borderId="1" xfId="0" applyBorder="1"/>
    <xf numFmtId="0" fontId="0" fillId="0" borderId="2" xfId="0" applyBorder="1"/>
    <xf numFmtId="0" fontId="5" fillId="0" borderId="0" xfId="0" applyFont="1"/>
    <xf numFmtId="0" fontId="4" fillId="0" borderId="0" xfId="0" applyFo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5" fillId="0" borderId="1" xfId="0" applyFont="1" applyBorder="1"/>
    <xf numFmtId="164" fontId="0" fillId="0" borderId="1" xfId="0" applyNumberFormat="1" applyBorder="1" applyAlignment="1">
      <alignment horizontal="left"/>
    </xf>
    <xf numFmtId="0" fontId="7" fillId="0" borderId="0" xfId="0" applyFont="1" applyFill="1"/>
  </cellXfs>
  <cellStyles count="2"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colors>
    <mruColors>
      <color rgb="FF000000"/>
      <color rgb="FF21AF8A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SinCos!$B$6:$B$206</c:f>
              <c:numCache>
                <c:formatCode>General</c:formatCode>
                <c:ptCount val="201"/>
                <c:pt idx="0">
                  <c:v>-83.907152907645241</c:v>
                </c:pt>
                <c:pt idx="1">
                  <c:v>-61.303401114318888</c:v>
                </c:pt>
                <c:pt idx="2">
                  <c:v>-35.308824238019284</c:v>
                </c:pt>
                <c:pt idx="3">
                  <c:v>-8.3857120969874597</c:v>
                </c:pt>
                <c:pt idx="4">
                  <c:v>17.126925529366947</c:v>
                </c:pt>
                <c:pt idx="5">
                  <c:v>39.189914033269929</c:v>
                </c:pt>
                <c:pt idx="6">
                  <c:v>56.204394412587646</c:v>
                </c:pt>
                <c:pt idx="7">
                  <c:v>67.107897183269941</c:v>
                </c:pt>
                <c:pt idx="8">
                  <c:v>71.421518672288627</c:v>
                </c:pt>
                <c:pt idx="9">
                  <c:v>69.247686014819806</c:v>
                </c:pt>
                <c:pt idx="10">
                  <c:v>61.221805905018989</c:v>
                </c:pt>
                <c:pt idx="11">
                  <c:v>48.424452068206229</c:v>
                </c:pt>
                <c:pt idx="12">
                  <c:v>32.263423057899921</c:v>
                </c:pt>
                <c:pt idx="13">
                  <c:v>14.336822670200929</c:v>
                </c:pt>
                <c:pt idx="14">
                  <c:v>-3.7108199530439943</c:v>
                </c:pt>
                <c:pt idx="15">
                  <c:v>-20.327486929107057</c:v>
                </c:pt>
                <c:pt idx="16">
                  <c:v>-34.176798997835689</c:v>
                </c:pt>
                <c:pt idx="17">
                  <c:v>-44.236306165985219</c:v>
                </c:pt>
                <c:pt idx="18">
                  <c:v>-49.864372991081822</c:v>
                </c:pt>
                <c:pt idx="19">
                  <c:v>-50.83194775831717</c:v>
                </c:pt>
                <c:pt idx="20">
                  <c:v>-47.318518448048344</c:v>
                </c:pt>
                <c:pt idx="21">
                  <c:v>-39.874482380333184</c:v>
                </c:pt>
                <c:pt idx="22">
                  <c:v>-29.354762627087467</c:v>
                </c:pt>
                <c:pt idx="23">
                  <c:v>-16.830599174472752</c:v>
                </c:pt>
                <c:pt idx="24">
                  <c:v>-3.4878814572543031</c:v>
                </c:pt>
                <c:pt idx="25">
                  <c:v>9.4789154345583988</c:v>
                </c:pt>
                <c:pt idx="26">
                  <c:v>20.968199647301748</c:v>
                </c:pt>
                <c:pt idx="27">
                  <c:v>30.059944498568441</c:v>
                </c:pt>
                <c:pt idx="28">
                  <c:v>36.08482304567783</c:v>
                </c:pt>
                <c:pt idx="29">
                  <c:v>38.668956184993505</c:v>
                </c:pt>
                <c:pt idx="30">
                  <c:v>37.751669414132316</c:v>
                </c:pt>
                <c:pt idx="31">
                  <c:v>33.576005405146866</c:v>
                </c:pt>
                <c:pt idx="32">
                  <c:v>26.654012231978548</c:v>
                </c:pt>
                <c:pt idx="33">
                  <c:v>17.710837456347765</c:v>
                </c:pt>
                <c:pt idx="34">
                  <c:v>7.6132517285710115</c:v>
                </c:pt>
                <c:pt idx="35">
                  <c:v>-2.7107124793580901</c:v>
                </c:pt>
                <c:pt idx="36">
                  <c:v>-12.353857605883517</c:v>
                </c:pt>
                <c:pt idx="37">
                  <c:v>-20.506653232022419</c:v>
                </c:pt>
                <c:pt idx="38">
                  <c:v>-26.522530518977707</c:v>
                </c:pt>
                <c:pt idx="39">
                  <c:v>-29.966587188069557</c:v>
                </c:pt>
                <c:pt idx="40">
                  <c:v>-30.644247801086109</c:v>
                </c:pt>
                <c:pt idx="41">
                  <c:v>-28.608248457276751</c:v>
                </c:pt>
                <c:pt idx="42">
                  <c:v>-24.144206822060397</c:v>
                </c:pt>
                <c:pt idx="43">
                  <c:v>-17.736837237829494</c:v>
                </c:pt>
                <c:pt idx="44">
                  <c:v>-10.020429506173357</c:v>
                </c:pt>
                <c:pt idx="45">
                  <c:v>-1.7184068571572968</c:v>
                </c:pt>
                <c:pt idx="46">
                  <c:v>6.4224738757228774</c:v>
                </c:pt>
                <c:pt idx="47">
                  <c:v>13.69746574076987</c:v>
                </c:pt>
                <c:pt idx="48">
                  <c:v>19.503153788077796</c:v>
                </c:pt>
                <c:pt idx="49">
                  <c:v>23.385901926439782</c:v>
                </c:pt>
                <c:pt idx="50">
                  <c:v>25.07566806921551</c:v>
                </c:pt>
                <c:pt idx="51">
                  <c:v>24.502809240308789</c:v>
                </c:pt>
                <c:pt idx="52">
                  <c:v>21.797031293040135</c:v>
                </c:pt>
                <c:pt idx="53">
                  <c:v>17.269190965846626</c:v>
                </c:pt>
                <c:pt idx="54">
                  <c:v>11.378099018098334</c:v>
                </c:pt>
                <c:pt idx="55">
                  <c:v>4.6856836752644604</c:v>
                </c:pt>
                <c:pt idx="56">
                  <c:v>-2.1952417043615173</c:v>
                </c:pt>
                <c:pt idx="57">
                  <c:v>-8.655868687152509</c:v>
                </c:pt>
                <c:pt idx="58">
                  <c:v>-14.144129559896534</c:v>
                </c:pt>
                <c:pt idx="59">
                  <c:v>-18.210806304182274</c:v>
                </c:pt>
                <c:pt idx="60">
                  <c:v>-20.545251266626465</c:v>
                </c:pt>
                <c:pt idx="61">
                  <c:v>-20.997968764343341</c:v>
                </c:pt>
                <c:pt idx="62">
                  <c:v>-19.588521915314722</c:v>
                </c:pt>
                <c:pt idx="63">
                  <c:v>-16.498538489146338</c:v>
                </c:pt>
                <c:pt idx="64">
                  <c:v>-12.050878849061908</c:v>
                </c:pt>
                <c:pt idx="65">
                  <c:v>-6.6771884781257853</c:v>
                </c:pt>
                <c:pt idx="66">
                  <c:v>-0.87699176589172978</c:v>
                </c:pt>
                <c:pt idx="67">
                  <c:v>4.827880759008031</c:v>
                </c:pt>
                <c:pt idx="68">
                  <c:v>9.9394485739502514</c:v>
                </c:pt>
                <c:pt idx="69">
                  <c:v>14.026306147831475</c:v>
                </c:pt>
                <c:pt idx="70">
                  <c:v>16.759314432326907</c:v>
                </c:pt>
                <c:pt idx="71">
                  <c:v>17.937367265599431</c:v>
                </c:pt>
                <c:pt idx="72">
                  <c:v>17.501281019518434</c:v>
                </c:pt>
                <c:pt idx="73">
                  <c:v>15.534937820640421</c:v>
                </c:pt>
                <c:pt idx="74">
                  <c:v>12.253939809542711</c:v>
                </c:pt>
                <c:pt idx="75">
                  <c:v>7.9831059558730741</c:v>
                </c:pt>
                <c:pt idx="76">
                  <c:v>3.1250728671995209</c:v>
                </c:pt>
                <c:pt idx="77">
                  <c:v>-1.8770294507501923</c:v>
                </c:pt>
                <c:pt idx="78">
                  <c:v>-6.5794221366705754</c:v>
                </c:pt>
                <c:pt idx="79">
                  <c:v>-10.576509696542161</c:v>
                </c:pt>
                <c:pt idx="80">
                  <c:v>-13.535348397082217</c:v>
                </c:pt>
                <c:pt idx="81">
                  <c:v>-15.222865817260297</c:v>
                </c:pt>
                <c:pt idx="82">
                  <c:v>-15.52365083389425</c:v>
                </c:pt>
                <c:pt idx="83">
                  <c:v>-14.447008504320921</c:v>
                </c:pt>
                <c:pt idx="84">
                  <c:v>-12.122940431746997</c:v>
                </c:pt>
                <c:pt idx="85">
                  <c:v>-8.7876824269820872</c:v>
                </c:pt>
                <c:pt idx="86">
                  <c:v>-4.7603234502893121</c:v>
                </c:pt>
                <c:pt idx="87">
                  <c:v>-0.41276764377329339</c:v>
                </c:pt>
                <c:pt idx="88">
                  <c:v>3.8641753814051483</c:v>
                </c:pt>
                <c:pt idx="89">
                  <c:v>7.6955181052010326</c:v>
                </c:pt>
                <c:pt idx="90">
                  <c:v>10.75458966790911</c:v>
                </c:pt>
                <c:pt idx="91">
                  <c:v>12.790514715320322</c:v>
                </c:pt>
                <c:pt idx="92">
                  <c:v>13.648397409452203</c:v>
                </c:pt>
                <c:pt idx="93">
                  <c:v>13.280621402431239</c:v>
                </c:pt>
                <c:pt idx="94">
                  <c:v>11.748488534929516</c:v>
                </c:pt>
                <c:pt idx="95">
                  <c:v>9.2142797095609961</c:v>
                </c:pt>
                <c:pt idx="96">
                  <c:v>5.9246549213789228</c:v>
                </c:pt>
                <c:pt idx="97">
                  <c:v>2.1870439925799645</c:v>
                </c:pt>
                <c:pt idx="98">
                  <c:v>-1.6587464531908622</c:v>
                </c:pt>
                <c:pt idx="99">
                  <c:v>-5.2711171296049848</c:v>
                </c:pt>
                <c:pt idx="100">
                  <c:v>-8.3367257706521833</c:v>
                </c:pt>
                <c:pt idx="101">
                  <c:v>-10.59738443336194</c:v>
                </c:pt>
                <c:pt idx="102">
                  <c:v>-11.871520043591484</c:v>
                </c:pt>
                <c:pt idx="103">
                  <c:v>-12.068439284666628</c:v>
                </c:pt>
                <c:pt idx="104">
                  <c:v>-11.194306407157516</c:v>
                </c:pt>
                <c:pt idx="105">
                  <c:v>-9.349490813269199</c:v>
                </c:pt>
                <c:pt idx="106">
                  <c:v>-6.7177034096589123</c:v>
                </c:pt>
                <c:pt idx="107">
                  <c:v>-3.5480500039140916</c:v>
                </c:pt>
                <c:pt idx="108">
                  <c:v>-0.13172571913224038</c:v>
                </c:pt>
                <c:pt idx="109">
                  <c:v>3.2244930509693228</c:v>
                </c:pt>
                <c:pt idx="110">
                  <c:v>6.2255675616186608</c:v>
                </c:pt>
                <c:pt idx="111">
                  <c:v>8.6139137747338719</c:v>
                </c:pt>
                <c:pt idx="112">
                  <c:v>10.191295027704276</c:v>
                </c:pt>
                <c:pt idx="113">
                  <c:v>10.835048436771048</c:v>
                </c:pt>
                <c:pt idx="114">
                  <c:v>10.507337150042046</c:v>
                </c:pt>
                <c:pt idx="115">
                  <c:v>9.2567581685294584</c:v>
                </c:pt>
                <c:pt idx="116">
                  <c:v>7.2123188926997814</c:v>
                </c:pt>
                <c:pt idx="117">
                  <c:v>4.5704641950455835</c:v>
                </c:pt>
                <c:pt idx="118">
                  <c:v>1.5764315179443003</c:v>
                </c:pt>
                <c:pt idx="119">
                  <c:v>-1.4983163938524375</c:v>
                </c:pt>
                <c:pt idx="120">
                  <c:v>-4.3805218654392863</c:v>
                </c:pt>
                <c:pt idx="121">
                  <c:v>-6.8192432473807578</c:v>
                </c:pt>
                <c:pt idx="122">
                  <c:v>-8.607534254615727</c:v>
                </c:pt>
                <c:pt idx="123">
                  <c:v>-9.5998335318821741</c:v>
                </c:pt>
                <c:pt idx="124">
                  <c:v>-9.7236183258137476</c:v>
                </c:pt>
                <c:pt idx="125">
                  <c:v>-8.9844071198866544</c:v>
                </c:pt>
                <c:pt idx="126">
                  <c:v>-7.4637972814091418</c:v>
                </c:pt>
                <c:pt idx="127">
                  <c:v>-5.3108412238766345</c:v>
                </c:pt>
                <c:pt idx="128">
                  <c:v>-2.7276439231152785</c:v>
                </c:pt>
                <c:pt idx="129">
                  <c:v>4.9444203743573223E-2</c:v>
                </c:pt>
                <c:pt idx="130">
                  <c:v>2.7713034574156348</c:v>
                </c:pt>
                <c:pt idx="131">
                  <c:v>5.1982517681369096</c:v>
                </c:pt>
                <c:pt idx="132">
                  <c:v>7.1210151744686501</c:v>
                </c:pt>
                <c:pt idx="133">
                  <c:v>8.3786389714056853</c:v>
                </c:pt>
                <c:pt idx="134">
                  <c:v>8.8718183503487307</c:v>
                </c:pt>
                <c:pt idx="135">
                  <c:v>8.5705572431378076</c:v>
                </c:pt>
                <c:pt idx="136">
                  <c:v>7.5155821665419023</c:v>
                </c:pt>
                <c:pt idx="137">
                  <c:v>5.8134971420493065</c:v>
                </c:pt>
                <c:pt idx="138">
                  <c:v>3.626216448618047</c:v>
                </c:pt>
                <c:pt idx="139">
                  <c:v>1.1557058808787029</c:v>
                </c:pt>
                <c:pt idx="140">
                  <c:v>-1.3745420324034918</c:v>
                </c:pt>
                <c:pt idx="141">
                  <c:v>-3.7396106908300819</c:v>
                </c:pt>
                <c:pt idx="142">
                  <c:v>-5.733041982822578</c:v>
                </c:pt>
                <c:pt idx="143">
                  <c:v>-7.1847508564568159</c:v>
                </c:pt>
                <c:pt idx="144">
                  <c:v>-7.97542692124137</c:v>
                </c:pt>
                <c:pt idx="145">
                  <c:v>-8.0462134278498532</c:v>
                </c:pt>
                <c:pt idx="146">
                  <c:v>-7.402890044429383</c:v>
                </c:pt>
                <c:pt idx="147">
                  <c:v>-6.1142826763909621</c:v>
                </c:pt>
                <c:pt idx="148">
                  <c:v>-4.3051365007856361</c:v>
                </c:pt>
                <c:pt idx="149">
                  <c:v>-2.144172066561044</c:v>
                </c:pt>
                <c:pt idx="150">
                  <c:v>0.17154328311545275</c:v>
                </c:pt>
                <c:pt idx="151">
                  <c:v>2.4344703698448997</c:v>
                </c:pt>
                <c:pt idx="152">
                  <c:v>4.4451067279805869</c:v>
                </c:pt>
                <c:pt idx="153">
                  <c:v>6.0294862191222585</c:v>
                </c:pt>
                <c:pt idx="154">
                  <c:v>7.0541425176993018</c:v>
                </c:pt>
                <c:pt idx="155">
                  <c:v>7.4372571987730911</c:v>
                </c:pt>
                <c:pt idx="156">
                  <c:v>7.1550697729684085</c:v>
                </c:pt>
                <c:pt idx="157">
                  <c:v>6.2430592270964445</c:v>
                </c:pt>
                <c:pt idx="158">
                  <c:v>4.7918752290498476</c:v>
                </c:pt>
                <c:pt idx="159">
                  <c:v>2.9384603414274451</c:v>
                </c:pt>
                <c:pt idx="160">
                  <c:v>0.85322168425677358</c:v>
                </c:pt>
                <c:pt idx="161">
                  <c:v>-1.2755545020176917</c:v>
                </c:pt>
                <c:pt idx="162">
                  <c:v>-3.2586272400598051</c:v>
                </c:pt>
                <c:pt idx="163">
                  <c:v>-4.9225496896532945</c:v>
                </c:pt>
                <c:pt idx="164">
                  <c:v>-6.1247666738816342</c:v>
                </c:pt>
                <c:pt idx="165">
                  <c:v>-6.7657531108082809</c:v>
                </c:pt>
                <c:pt idx="166">
                  <c:v>-6.7971664137695056</c:v>
                </c:pt>
                <c:pt idx="167">
                  <c:v>-6.2253530283628633</c:v>
                </c:pt>
                <c:pt idx="168">
                  <c:v>-5.1099690514257077</c:v>
                </c:pt>
                <c:pt idx="169">
                  <c:v>-3.557909567074232</c:v>
                </c:pt>
                <c:pt idx="170">
                  <c:v>-1.7131524226494363</c:v>
                </c:pt>
                <c:pt idx="171">
                  <c:v>0.25652621753537203</c:v>
                </c:pt>
                <c:pt idx="172">
                  <c:v>2.1747451704193521</c:v>
                </c:pt>
                <c:pt idx="173">
                  <c:v>3.8722503484517672</c:v>
                </c:pt>
                <c:pt idx="174">
                  <c:v>5.2017880162973071</c:v>
                </c:pt>
                <c:pt idx="175">
                  <c:v>6.0508175653142473</c:v>
                </c:pt>
                <c:pt idx="176">
                  <c:v>6.3509716717131814</c:v>
                </c:pt>
                <c:pt idx="177">
                  <c:v>6.0834745455002537</c:v>
                </c:pt>
                <c:pt idx="178">
                  <c:v>5.2800971401127637</c:v>
                </c:pt>
                <c:pt idx="179">
                  <c:v>4.0196282897849871</c:v>
                </c:pt>
                <c:pt idx="180">
                  <c:v>2.4202370425050974</c:v>
                </c:pt>
                <c:pt idx="181">
                  <c:v>0.62845906595489331</c:v>
                </c:pt>
                <c:pt idx="182">
                  <c:v>-1.1941720759557981</c:v>
                </c:pt>
                <c:pt idx="183">
                  <c:v>-2.8856341725004464</c:v>
                </c:pt>
                <c:pt idx="184">
                  <c:v>-4.2977676380411838</c:v>
                </c:pt>
                <c:pt idx="185">
                  <c:v>-5.3092021943504522</c:v>
                </c:pt>
                <c:pt idx="186">
                  <c:v>-5.8357356306209072</c:v>
                </c:pt>
                <c:pt idx="187">
                  <c:v>-5.8372818115487517</c:v>
                </c:pt>
                <c:pt idx="188">
                  <c:v>-5.3208202862245209</c:v>
                </c:pt>
                <c:pt idx="189">
                  <c:v>-4.3391408870737109</c:v>
                </c:pt>
                <c:pt idx="190">
                  <c:v>-2.9855511179847283</c:v>
                </c:pt>
                <c:pt idx="191">
                  <c:v>-1.3850686892642194</c:v>
                </c:pt>
                <c:pt idx="192">
                  <c:v>0.31707476602557999</c:v>
                </c:pt>
                <c:pt idx="193">
                  <c:v>1.9685660937853366</c:v>
                </c:pt>
                <c:pt idx="194">
                  <c:v>3.4235957725433384</c:v>
                </c:pt>
                <c:pt idx="195">
                  <c:v>4.5556880573021967</c:v>
                </c:pt>
                <c:pt idx="196">
                  <c:v>5.2686509840160811</c:v>
                </c:pt>
                <c:pt idx="197">
                  <c:v>5.5047020689880588</c:v>
                </c:pt>
                <c:pt idx="198">
                  <c:v>5.2490875721670465</c:v>
                </c:pt>
                <c:pt idx="199">
                  <c:v>4.530832106735847</c:v>
                </c:pt>
                <c:pt idx="200">
                  <c:v>3.4196022691585584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7C-4A8E-A004-DCEC93472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17808"/>
        <c:axId val="212218928"/>
      </c:scatterChart>
      <c:valAx>
        <c:axId val="212217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2218928"/>
        <c:crosses val="autoZero"/>
        <c:crossBetween val="midCat"/>
      </c:valAx>
      <c:valAx>
        <c:axId val="2122189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2217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Hypocloid!$E$7:$E$706</c:f>
              <c:numCache>
                <c:formatCode>General</c:formatCode>
                <c:ptCount val="700"/>
                <c:pt idx="0">
                  <c:v>1</c:v>
                </c:pt>
                <c:pt idx="1">
                  <c:v>1.1095634955568912</c:v>
                </c:pt>
                <c:pt idx="2">
                  <c:v>2.2740234201650287</c:v>
                </c:pt>
                <c:pt idx="3">
                  <c:v>2.9704769777112077</c:v>
                </c:pt>
                <c:pt idx="4">
                  <c:v>3.4535027299266279</c:v>
                </c:pt>
                <c:pt idx="5">
                  <c:v>3.4037893903396359</c:v>
                </c:pt>
                <c:pt idx="6">
                  <c:v>2.4742139928793021</c:v>
                </c:pt>
                <c:pt idx="7">
                  <c:v>0.41134572246576173</c:v>
                </c:pt>
                <c:pt idx="8">
                  <c:v>-2.8422181189813274</c:v>
                </c:pt>
                <c:pt idx="9">
                  <c:v>-7.0739637443462389</c:v>
                </c:pt>
                <c:pt idx="10">
                  <c:v>-11.77895761177809</c:v>
                </c:pt>
                <c:pt idx="11">
                  <c:v>-16.202156707507964</c:v>
                </c:pt>
                <c:pt idx="12">
                  <c:v>-19.445452151183311</c:v>
                </c:pt>
                <c:pt idx="13">
                  <c:v>-20.624795264621746</c:v>
                </c:pt>
                <c:pt idx="14">
                  <c:v>-19.050199138445112</c:v>
                </c:pt>
                <c:pt idx="15">
                  <c:v>-14.393676852497439</c:v>
                </c:pt>
                <c:pt idx="16">
                  <c:v>-6.809211280259639</c:v>
                </c:pt>
                <c:pt idx="17">
                  <c:v>3.0247180628524362</c:v>
                </c:pt>
                <c:pt idx="18">
                  <c:v>13.956563278868643</c:v>
                </c:pt>
                <c:pt idx="19">
                  <c:v>24.506356341267477</c:v>
                </c:pt>
                <c:pt idx="20">
                  <c:v>33.084540571069965</c:v>
                </c:pt>
                <c:pt idx="21">
                  <c:v>38.250195128164066</c:v>
                </c:pt>
                <c:pt idx="22">
                  <c:v>38.963923859689075</c:v>
                </c:pt>
                <c:pt idx="23">
                  <c:v>34.788821054854949</c:v>
                </c:pt>
                <c:pt idx="24">
                  <c:v>25.999919552975005</c:v>
                </c:pt>
                <c:pt idx="25">
                  <c:v>13.577438517761367</c:v>
                </c:pt>
                <c:pt idx="26">
                  <c:v>-0.92054139237055033</c:v>
                </c:pt>
                <c:pt idx="27">
                  <c:v>-15.588313325747658</c:v>
                </c:pt>
                <c:pt idx="28">
                  <c:v>-28.468423331486754</c:v>
                </c:pt>
                <c:pt idx="29">
                  <c:v>-37.862593415127506</c:v>
                </c:pt>
                <c:pt idx="30">
                  <c:v>-42.602798928803026</c:v>
                </c:pt>
                <c:pt idx="31">
                  <c:v>-42.233492327427484</c:v>
                </c:pt>
                <c:pt idx="32">
                  <c:v>-37.071228775831841</c:v>
                </c:pt>
                <c:pt idx="33">
                  <c:v>-28.129975877827114</c:v>
                </c:pt>
                <c:pt idx="34">
                  <c:v>-16.925178398554532</c:v>
                </c:pt>
                <c:pt idx="35">
                  <c:v>-5.1925419408647109</c:v>
                </c:pt>
                <c:pt idx="36">
                  <c:v>5.4259391502335959</c:v>
                </c:pt>
                <c:pt idx="37">
                  <c:v>13.669308180279453</c:v>
                </c:pt>
                <c:pt idx="38">
                  <c:v>18.863324341630822</c:v>
                </c:pt>
                <c:pt idx="39">
                  <c:v>21.004629295266639</c:v>
                </c:pt>
                <c:pt idx="40">
                  <c:v>20.706792250506027</c:v>
                </c:pt>
                <c:pt idx="41">
                  <c:v>19.018715465903689</c:v>
                </c:pt>
                <c:pt idx="42">
                  <c:v>17.151654318767051</c:v>
                </c:pt>
                <c:pt idx="43">
                  <c:v>16.170484685770191</c:v>
                </c:pt>
                <c:pt idx="44">
                  <c:v>16.713825414760556</c:v>
                </c:pt>
                <c:pt idx="45">
                  <c:v>18.804058773577328</c:v>
                </c:pt>
                <c:pt idx="46">
                  <c:v>21.792402124449975</c:v>
                </c:pt>
                <c:pt idx="47">
                  <c:v>24.458580939875116</c:v>
                </c:pt>
                <c:pt idx="48">
                  <c:v>25.253932017570623</c:v>
                </c:pt>
                <c:pt idx="49">
                  <c:v>22.646700496065698</c:v>
                </c:pt>
                <c:pt idx="50">
                  <c:v>15.504778696594745</c:v>
                </c:pt>
                <c:pt idx="51">
                  <c:v>3.4390612008329171</c:v>
                </c:pt>
                <c:pt idx="52">
                  <c:v>-12.967122913028675</c:v>
                </c:pt>
                <c:pt idx="53">
                  <c:v>-32.100084678525825</c:v>
                </c:pt>
                <c:pt idx="54">
                  <c:v>-51.45778533239654</c:v>
                </c:pt>
                <c:pt idx="55">
                  <c:v>-67.9837503154329</c:v>
                </c:pt>
                <c:pt idx="56">
                  <c:v>-78.547594499986161</c:v>
                </c:pt>
                <c:pt idx="57">
                  <c:v>-80.495765336025187</c:v>
                </c:pt>
                <c:pt idx="58">
                  <c:v>-72.177308932859631</c:v>
                </c:pt>
                <c:pt idx="59">
                  <c:v>-53.347101173087104</c:v>
                </c:pt>
                <c:pt idx="60">
                  <c:v>-25.364353710972697</c:v>
                </c:pt>
                <c:pt idx="61">
                  <c:v>8.864607013242594</c:v>
                </c:pt>
                <c:pt idx="62">
                  <c:v>45.208169968808875</c:v>
                </c:pt>
                <c:pt idx="63">
                  <c:v>78.858799780745727</c:v>
                </c:pt>
                <c:pt idx="64">
                  <c:v>105.03112561116743</c:v>
                </c:pt>
                <c:pt idx="65">
                  <c:v>119.70011418642815</c:v>
                </c:pt>
                <c:pt idx="66">
                  <c:v>120.25851787912006</c:v>
                </c:pt>
                <c:pt idx="67">
                  <c:v>105.98114989732983</c:v>
                </c:pt>
                <c:pt idx="68">
                  <c:v>78.211709460243867</c:v>
                </c:pt>
                <c:pt idx="69">
                  <c:v>40.231595497721308</c:v>
                </c:pt>
                <c:pt idx="70">
                  <c:v>-3.177749985054243</c:v>
                </c:pt>
                <c:pt idx="71">
                  <c:v>-46.415793107340676</c:v>
                </c:pt>
                <c:pt idx="72">
                  <c:v>-83.881828998063071</c:v>
                </c:pt>
                <c:pt idx="73">
                  <c:v>-110.80145978158944</c:v>
                </c:pt>
                <c:pt idx="74">
                  <c:v>-123.92693877201566</c:v>
                </c:pt>
                <c:pt idx="75">
                  <c:v>-121.99722855974734</c:v>
                </c:pt>
                <c:pt idx="76">
                  <c:v>-105.88297995450841</c:v>
                </c:pt>
                <c:pt idx="77">
                  <c:v>-78.394267670944288</c:v>
                </c:pt>
                <c:pt idx="78">
                  <c:v>-43.785807062794881</c:v>
                </c:pt>
                <c:pt idx="79">
                  <c:v>-7.0456143825268285</c:v>
                </c:pt>
                <c:pt idx="80">
                  <c:v>26.910396396120294</c:v>
                </c:pt>
                <c:pt idx="81">
                  <c:v>54.000136427167654</c:v>
                </c:pt>
                <c:pt idx="82">
                  <c:v>71.564540117451543</c:v>
                </c:pt>
                <c:pt idx="83">
                  <c:v>78.68703863188972</c:v>
                </c:pt>
                <c:pt idx="84">
                  <c:v>76.195004423406488</c:v>
                </c:pt>
                <c:pt idx="85">
                  <c:v>66.352352139525721</c:v>
                </c:pt>
                <c:pt idx="86">
                  <c:v>52.30825859787538</c:v>
                </c:pt>
                <c:pt idx="87">
                  <c:v>37.410910601123973</c:v>
                </c:pt>
                <c:pt idx="88">
                  <c:v>24.519208021565831</c:v>
                </c:pt>
                <c:pt idx="89">
                  <c:v>15.444868006415007</c:v>
                </c:pt>
                <c:pt idx="90">
                  <c:v>10.632232817694813</c:v>
                </c:pt>
                <c:pt idx="91">
                  <c:v>9.1376313170343408</c:v>
                </c:pt>
                <c:pt idx="92">
                  <c:v>8.9125332115752709</c:v>
                </c:pt>
                <c:pt idx="93">
                  <c:v>7.3354943613551349</c:v>
                </c:pt>
                <c:pt idx="94">
                  <c:v>1.8880459664485727</c:v>
                </c:pt>
                <c:pt idx="95">
                  <c:v>-9.161256509210034</c:v>
                </c:pt>
                <c:pt idx="96">
                  <c:v>-26.20621062970811</c:v>
                </c:pt>
                <c:pt idx="97">
                  <c:v>-48.006295998031071</c:v>
                </c:pt>
                <c:pt idx="98">
                  <c:v>-71.719749597975323</c:v>
                </c:pt>
                <c:pt idx="99">
                  <c:v>-93.281424259739822</c:v>
                </c:pt>
                <c:pt idx="100">
                  <c:v>-108.07448924850701</c:v>
                </c:pt>
                <c:pt idx="101">
                  <c:v>-111.78591089401596</c:v>
                </c:pt>
                <c:pt idx="102">
                  <c:v>-101.29456372950763</c:v>
                </c:pt>
                <c:pt idx="103">
                  <c:v>-75.425987178402252</c:v>
                </c:pt>
                <c:pt idx="104">
                  <c:v>-35.422906016545895</c:v>
                </c:pt>
                <c:pt idx="105">
                  <c:v>14.975963092039976</c:v>
                </c:pt>
                <c:pt idx="106">
                  <c:v>69.891404873156858</c:v>
                </c:pt>
                <c:pt idx="107">
                  <c:v>122.06060827076769</c:v>
                </c:pt>
                <c:pt idx="108">
                  <c:v>163.88967427640955</c:v>
                </c:pt>
                <c:pt idx="109">
                  <c:v>188.6386654372842</c:v>
                </c:pt>
                <c:pt idx="110">
                  <c:v>191.54522984728533</c:v>
                </c:pt>
                <c:pt idx="111">
                  <c:v>170.69461870078487</c:v>
                </c:pt>
                <c:pt idx="112">
                  <c:v>127.47912622273549</c:v>
                </c:pt>
                <c:pt idx="113">
                  <c:v>66.553476268896773</c:v>
                </c:pt>
                <c:pt idx="114">
                  <c:v>-4.7257796553952023</c:v>
                </c:pt>
                <c:pt idx="115">
                  <c:v>-77.302857014765209</c:v>
                </c:pt>
                <c:pt idx="116">
                  <c:v>-141.71774601647479</c:v>
                </c:pt>
                <c:pt idx="117">
                  <c:v>-189.49207188315415</c:v>
                </c:pt>
                <c:pt idx="118">
                  <c:v>-214.38528386683748</c:v>
                </c:pt>
                <c:pt idx="119">
                  <c:v>-213.31855924935257</c:v>
                </c:pt>
                <c:pt idx="120">
                  <c:v>-186.81611423898855</c:v>
                </c:pt>
                <c:pt idx="121">
                  <c:v>-138.89183561343515</c:v>
                </c:pt>
                <c:pt idx="122">
                  <c:v>-76.400196277124948</c:v>
                </c:pt>
                <c:pt idx="123">
                  <c:v>-7.9588208313894597</c:v>
                </c:pt>
                <c:pt idx="124">
                  <c:v>57.379358853431256</c:v>
                </c:pt>
                <c:pt idx="125">
                  <c:v>111.48590411781839</c:v>
                </c:pt>
                <c:pt idx="126">
                  <c:v>148.32682268487036</c:v>
                </c:pt>
                <c:pt idx="127">
                  <c:v>164.75536740347036</c:v>
                </c:pt>
                <c:pt idx="128">
                  <c:v>160.8067939465366</c:v>
                </c:pt>
                <c:pt idx="129">
                  <c:v>139.4609965654883</c:v>
                </c:pt>
                <c:pt idx="130">
                  <c:v>105.93096340589094</c:v>
                </c:pt>
                <c:pt idx="131">
                  <c:v>66.616084676378691</c:v>
                </c:pt>
                <c:pt idx="132">
                  <c:v>27.915232305114159</c:v>
                </c:pt>
                <c:pt idx="133">
                  <c:v>-4.8846501922484009</c:v>
                </c:pt>
                <c:pt idx="134">
                  <c:v>-28.446611294617334</c:v>
                </c:pt>
                <c:pt idx="135">
                  <c:v>-41.803955442602152</c:v>
                </c:pt>
                <c:pt idx="136">
                  <c:v>-46.297504767951771</c:v>
                </c:pt>
                <c:pt idx="137">
                  <c:v>-45.05545824693418</c:v>
                </c:pt>
                <c:pt idx="138">
                  <c:v>-42.127314302502334</c:v>
                </c:pt>
                <c:pt idx="139">
                  <c:v>-41.448538806894163</c:v>
                </c:pt>
                <c:pt idx="140">
                  <c:v>-45.845124696992201</c:v>
                </c:pt>
                <c:pt idx="141">
                  <c:v>-56.280638456794151</c:v>
                </c:pt>
                <c:pt idx="142">
                  <c:v>-71.50355886259959</c:v>
                </c:pt>
                <c:pt idx="143">
                  <c:v>-88.177451738587536</c:v>
                </c:pt>
                <c:pt idx="144">
                  <c:v>-101.48424035790336</c:v>
                </c:pt>
                <c:pt idx="145">
                  <c:v>-106.09830510642828</c:v>
                </c:pt>
                <c:pt idx="146">
                  <c:v>-97.353503303083841</c:v>
                </c:pt>
                <c:pt idx="147">
                  <c:v>-72.380814691824938</c:v>
                </c:pt>
                <c:pt idx="148">
                  <c:v>-30.990161684626614</c:v>
                </c:pt>
                <c:pt idx="149">
                  <c:v>23.892129301069374</c:v>
                </c:pt>
                <c:pt idx="150">
                  <c:v>86.344523714725796</c:v>
                </c:pt>
                <c:pt idx="151">
                  <c:v>148.14635014312401</c:v>
                </c:pt>
                <c:pt idx="152">
                  <c:v>199.96012781913825</c:v>
                </c:pt>
                <c:pt idx="153">
                  <c:v>232.81866942830101</c:v>
                </c:pt>
                <c:pt idx="154">
                  <c:v>239.67165115082491</c:v>
                </c:pt>
                <c:pt idx="155">
                  <c:v>216.72385173257311</c:v>
                </c:pt>
                <c:pt idx="156">
                  <c:v>164.32136078255056</c:v>
                </c:pt>
                <c:pt idx="157">
                  <c:v>87.209860903196102</c:v>
                </c:pt>
                <c:pt idx="158">
                  <c:v>-5.9100778216287395</c:v>
                </c:pt>
                <c:pt idx="159">
                  <c:v>-103.48863233431767</c:v>
                </c:pt>
                <c:pt idx="160">
                  <c:v>-192.73780433158083</c:v>
                </c:pt>
                <c:pt idx="161">
                  <c:v>-261.5024847988027</c:v>
                </c:pt>
                <c:pt idx="162">
                  <c:v>-300.09561055270041</c:v>
                </c:pt>
                <c:pt idx="163">
                  <c:v>-302.80012001903077</c:v>
                </c:pt>
                <c:pt idx="164">
                  <c:v>-268.78922737289736</c:v>
                </c:pt>
                <c:pt idx="165">
                  <c:v>-202.30805241754024</c:v>
                </c:pt>
                <c:pt idx="166">
                  <c:v>-112.07887286584426</c:v>
                </c:pt>
                <c:pt idx="167">
                  <c:v>-10.019228082131434</c:v>
                </c:pt>
                <c:pt idx="168">
                  <c:v>90.524748784488864</c:v>
                </c:pt>
                <c:pt idx="169">
                  <c:v>176.7474492573414</c:v>
                </c:pt>
                <c:pt idx="170">
                  <c:v>238.24013621357071</c:v>
                </c:pt>
                <c:pt idx="171">
                  <c:v>268.43927001300392</c:v>
                </c:pt>
                <c:pt idx="172">
                  <c:v>265.44115960512806</c:v>
                </c:pt>
                <c:pt idx="173">
                  <c:v>232.06465899273809</c:v>
                </c:pt>
                <c:pt idx="174">
                  <c:v>175.1703663064219</c:v>
                </c:pt>
                <c:pt idx="175">
                  <c:v>104.36906022646244</c:v>
                </c:pt>
                <c:pt idx="176">
                  <c:v>30.35249696568836</c:v>
                </c:pt>
                <c:pt idx="177">
                  <c:v>-36.861096171577358</c:v>
                </c:pt>
                <c:pt idx="178">
                  <c:v>-89.466554902003224</c:v>
                </c:pt>
                <c:pt idx="179">
                  <c:v>-122.94050650141247</c:v>
                </c:pt>
                <c:pt idx="180">
                  <c:v>-136.4721806670922</c:v>
                </c:pt>
                <c:pt idx="181">
                  <c:v>-132.70627511678845</c:v>
                </c:pt>
                <c:pt idx="182">
                  <c:v>-116.8723602410933</c:v>
                </c:pt>
                <c:pt idx="183">
                  <c:v>-95.484986475242138</c:v>
                </c:pt>
                <c:pt idx="184">
                  <c:v>-74.873874791957718</c:v>
                </c:pt>
                <c:pt idx="185">
                  <c:v>-59.830835731583676</c:v>
                </c:pt>
                <c:pt idx="186">
                  <c:v>-52.634468381469986</c:v>
                </c:pt>
                <c:pt idx="187">
                  <c:v>-52.639839937949077</c:v>
                </c:pt>
                <c:pt idx="188">
                  <c:v>-56.511587305749572</c:v>
                </c:pt>
                <c:pt idx="189">
                  <c:v>-59.054975622678796</c:v>
                </c:pt>
                <c:pt idx="190">
                  <c:v>-54.483066297404186</c:v>
                </c:pt>
                <c:pt idx="191">
                  <c:v>-37.870814457529264</c:v>
                </c:pt>
                <c:pt idx="192">
                  <c:v>-6.5051183148292466</c:v>
                </c:pt>
                <c:pt idx="193">
                  <c:v>39.148005851467502</c:v>
                </c:pt>
                <c:pt idx="194">
                  <c:v>95.07312971547843</c:v>
                </c:pt>
                <c:pt idx="195">
                  <c:v>154.03939524202769</c:v>
                </c:pt>
                <c:pt idx="196">
                  <c:v>206.61642162954112</c:v>
                </c:pt>
                <c:pt idx="197">
                  <c:v>242.72010164838656</c:v>
                </c:pt>
                <c:pt idx="198">
                  <c:v>253.43027991545921</c:v>
                </c:pt>
                <c:pt idx="199">
                  <c:v>232.75990556193608</c:v>
                </c:pt>
                <c:pt idx="200">
                  <c:v>179.04887463694237</c:v>
                </c:pt>
                <c:pt idx="201">
                  <c:v>95.708105948655572</c:v>
                </c:pt>
                <c:pt idx="202">
                  <c:v>-8.8573143125759657</c:v>
                </c:pt>
                <c:pt idx="203">
                  <c:v>-122.17981009998289</c:v>
                </c:pt>
                <c:pt idx="204">
                  <c:v>-229.40182733575463</c:v>
                </c:pt>
                <c:pt idx="205">
                  <c:v>-315.44246100136684</c:v>
                </c:pt>
                <c:pt idx="206">
                  <c:v>-367.31752084700963</c:v>
                </c:pt>
                <c:pt idx="207">
                  <c:v>-376.23447881653351</c:v>
                </c:pt>
                <c:pt idx="208">
                  <c:v>-339.10977563788526</c:v>
                </c:pt>
                <c:pt idx="209">
                  <c:v>-259.24275857593273</c:v>
                </c:pt>
                <c:pt idx="210">
                  <c:v>-146.01431419041543</c:v>
                </c:pt>
                <c:pt idx="211">
                  <c:v>-13.636925530348842</c:v>
                </c:pt>
                <c:pt idx="212">
                  <c:v>120.8603218388424</c:v>
                </c:pt>
                <c:pt idx="213">
                  <c:v>240.10010878774875</c:v>
                </c:pt>
                <c:pt idx="214">
                  <c:v>328.88959315665363</c:v>
                </c:pt>
                <c:pt idx="215">
                  <c:v>376.41550434874716</c:v>
                </c:pt>
                <c:pt idx="216">
                  <c:v>377.75385409537239</c:v>
                </c:pt>
                <c:pt idx="217">
                  <c:v>334.45896532739397</c:v>
                </c:pt>
                <c:pt idx="218">
                  <c:v>254.14836951866837</c:v>
                </c:pt>
                <c:pt idx="219">
                  <c:v>149.16559265501178</c:v>
                </c:pt>
                <c:pt idx="220">
                  <c:v>34.553757974493408</c:v>
                </c:pt>
                <c:pt idx="221">
                  <c:v>-74.316448844058996</c:v>
                </c:pt>
                <c:pt idx="222">
                  <c:v>-164.06937440743715</c:v>
                </c:pt>
                <c:pt idx="223">
                  <c:v>-225.21859970124774</c:v>
                </c:pt>
                <c:pt idx="224">
                  <c:v>-253.33441018944109</c:v>
                </c:pt>
                <c:pt idx="225">
                  <c:v>-249.31691939470463</c:v>
                </c:pt>
                <c:pt idx="226">
                  <c:v>-218.76498420808295</c:v>
                </c:pt>
                <c:pt idx="227">
                  <c:v>-170.5880781619143</c:v>
                </c:pt>
                <c:pt idx="228">
                  <c:v>-115.13704354239005</c:v>
                </c:pt>
                <c:pt idx="229">
                  <c:v>-62.207633604321671</c:v>
                </c:pt>
                <c:pt idx="230">
                  <c:v>-19.284526255826449</c:v>
                </c:pt>
                <c:pt idx="231">
                  <c:v>9.6589868278880147</c:v>
                </c:pt>
                <c:pt idx="232">
                  <c:v>24.599376205478663</c:v>
                </c:pt>
                <c:pt idx="233">
                  <c:v>29.078594090306979</c:v>
                </c:pt>
                <c:pt idx="234">
                  <c:v>29.092094623588089</c:v>
                </c:pt>
                <c:pt idx="235">
                  <c:v>31.481606475354312</c:v>
                </c:pt>
                <c:pt idx="236">
                  <c:v>42.159280962020858</c:v>
                </c:pt>
                <c:pt idx="237">
                  <c:v>64.523266505080727</c:v>
                </c:pt>
                <c:pt idx="238">
                  <c:v>98.390917304869873</c:v>
                </c:pt>
                <c:pt idx="239">
                  <c:v>139.6803561694108</c:v>
                </c:pt>
                <c:pt idx="240">
                  <c:v>180.93085074266173</c:v>
                </c:pt>
                <c:pt idx="241">
                  <c:v>212.5926224983391</c:v>
                </c:pt>
                <c:pt idx="242">
                  <c:v>224.86636137898489</c:v>
                </c:pt>
                <c:pt idx="243">
                  <c:v>209.75963472367849</c:v>
                </c:pt>
                <c:pt idx="244">
                  <c:v>162.97301477095002</c:v>
                </c:pt>
                <c:pt idx="245">
                  <c:v>85.244311929379535</c:v>
                </c:pt>
                <c:pt idx="246">
                  <c:v>-17.13640973694595</c:v>
                </c:pt>
                <c:pt idx="247">
                  <c:v>-132.78892536281364</c:v>
                </c:pt>
                <c:pt idx="248">
                  <c:v>-246.65909693762492</c:v>
                </c:pt>
                <c:pt idx="249">
                  <c:v>-342.1938832737805</c:v>
                </c:pt>
                <c:pt idx="250">
                  <c:v>-403.93638376701847</c:v>
                </c:pt>
                <c:pt idx="251">
                  <c:v>-420.11410369635905</c:v>
                </c:pt>
                <c:pt idx="252">
                  <c:v>-384.77769838450524</c:v>
                </c:pt>
                <c:pt idx="253">
                  <c:v>-299.10819817441853</c:v>
                </c:pt>
                <c:pt idx="254">
                  <c:v>-171.63928776284041</c:v>
                </c:pt>
                <c:pt idx="255">
                  <c:v>-17.316743278508689</c:v>
                </c:pt>
                <c:pt idx="256">
                  <c:v>144.4897921102208</c:v>
                </c:pt>
                <c:pt idx="257">
                  <c:v>292.72982103399926</c:v>
                </c:pt>
                <c:pt idx="258">
                  <c:v>407.74537123303497</c:v>
                </c:pt>
                <c:pt idx="259">
                  <c:v>474.18811652416616</c:v>
                </c:pt>
                <c:pt idx="260">
                  <c:v>483.31228679355013</c:v>
                </c:pt>
                <c:pt idx="261">
                  <c:v>434.27269356749969</c:v>
                </c:pt>
                <c:pt idx="262">
                  <c:v>334.21728112524306</c:v>
                </c:pt>
                <c:pt idx="263">
                  <c:v>197.15978527616721</c:v>
                </c:pt>
                <c:pt idx="264">
                  <c:v>41.817257126753248</c:v>
                </c:pt>
                <c:pt idx="265">
                  <c:v>-111.23438503813637</c:v>
                </c:pt>
                <c:pt idx="266">
                  <c:v>-242.62459613300743</c:v>
                </c:pt>
                <c:pt idx="267">
                  <c:v>-336.97892170306227</c:v>
                </c:pt>
                <c:pt idx="268">
                  <c:v>-384.99474858480812</c:v>
                </c:pt>
                <c:pt idx="269">
                  <c:v>-384.48636044425791</c:v>
                </c:pt>
                <c:pt idx="270">
                  <c:v>-340.26124163241502</c:v>
                </c:pt>
                <c:pt idx="271">
                  <c:v>-262.88837758495561</c:v>
                </c:pt>
                <c:pt idx="272">
                  <c:v>-166.60483970487854</c:v>
                </c:pt>
                <c:pt idx="273">
                  <c:v>-66.747243534980498</c:v>
                </c:pt>
                <c:pt idx="274">
                  <c:v>22.834231136880277</c:v>
                </c:pt>
                <c:pt idx="275">
                  <c:v>91.931428632452494</c:v>
                </c:pt>
                <c:pt idx="276">
                  <c:v>135.34389983935</c:v>
                </c:pt>
                <c:pt idx="277">
                  <c:v>153.24562259814212</c:v>
                </c:pt>
                <c:pt idx="278">
                  <c:v>150.52906660492795</c:v>
                </c:pt>
                <c:pt idx="279">
                  <c:v>135.28983417169249</c:v>
                </c:pt>
                <c:pt idx="280">
                  <c:v>116.77006025486517</c:v>
                </c:pt>
                <c:pt idx="281">
                  <c:v>103.1739698243625</c:v>
                </c:pt>
                <c:pt idx="282">
                  <c:v>99.787430012576806</c:v>
                </c:pt>
                <c:pt idx="283">
                  <c:v>107.77175601086836</c:v>
                </c:pt>
                <c:pt idx="284">
                  <c:v>123.8716126109759</c:v>
                </c:pt>
                <c:pt idx="285">
                  <c:v>141.10125855122544</c:v>
                </c:pt>
                <c:pt idx="286">
                  <c:v>150.28457399107506</c:v>
                </c:pt>
                <c:pt idx="287">
                  <c:v>142.15687693558903</c:v>
                </c:pt>
                <c:pt idx="288">
                  <c:v>109.62148178776688</c:v>
                </c:pt>
                <c:pt idx="289">
                  <c:v>49.713113170299721</c:v>
                </c:pt>
                <c:pt idx="290">
                  <c:v>-35.137699813761543</c:v>
                </c:pt>
                <c:pt idx="291">
                  <c:v>-136.82650569513024</c:v>
                </c:pt>
                <c:pt idx="292">
                  <c:v>-242.39530786961214</c:v>
                </c:pt>
                <c:pt idx="293">
                  <c:v>-335.86288154263377</c:v>
                </c:pt>
                <c:pt idx="294">
                  <c:v>-400.78579628944613</c:v>
                </c:pt>
                <c:pt idx="295">
                  <c:v>-423.12497764160787</c:v>
                </c:pt>
                <c:pt idx="296">
                  <c:v>-393.91873107497815</c:v>
                </c:pt>
                <c:pt idx="297">
                  <c:v>-311.27620577409789</c:v>
                </c:pt>
                <c:pt idx="298">
                  <c:v>-181.30506489614939</c:v>
                </c:pt>
                <c:pt idx="299">
                  <c:v>-17.758067853429779</c:v>
                </c:pt>
                <c:pt idx="300">
                  <c:v>159.60306170845914</c:v>
                </c:pt>
                <c:pt idx="301">
                  <c:v>327.70814847572217</c:v>
                </c:pt>
                <c:pt idx="302">
                  <c:v>463.5370413948973</c:v>
                </c:pt>
                <c:pt idx="303">
                  <c:v>547.60666409693761</c:v>
                </c:pt>
                <c:pt idx="304">
                  <c:v>567.02181686883932</c:v>
                </c:pt>
                <c:pt idx="305">
                  <c:v>517.58458001067845</c:v>
                </c:pt>
                <c:pt idx="306">
                  <c:v>404.60316862668788</c:v>
                </c:pt>
                <c:pt idx="307">
                  <c:v>242.24963631845964</c:v>
                </c:pt>
                <c:pt idx="308">
                  <c:v>51.552115534743507</c:v>
                </c:pt>
                <c:pt idx="309">
                  <c:v>-142.66858146360431</c:v>
                </c:pt>
                <c:pt idx="310">
                  <c:v>-315.43431964796639</c:v>
                </c:pt>
                <c:pt idx="311">
                  <c:v>-445.23944291800808</c:v>
                </c:pt>
                <c:pt idx="312">
                  <c:v>-517.09987751209121</c:v>
                </c:pt>
                <c:pt idx="313">
                  <c:v>-524.54471190050106</c:v>
                </c:pt>
                <c:pt idx="314">
                  <c:v>-470.25098540515597</c:v>
                </c:pt>
                <c:pt idx="315">
                  <c:v>-365.24889518789109</c:v>
                </c:pt>
                <c:pt idx="316">
                  <c:v>-226.86131450668498</c:v>
                </c:pt>
                <c:pt idx="317">
                  <c:v>-75.747990919964082</c:v>
                </c:pt>
                <c:pt idx="318">
                  <c:v>67.434043548879515</c:v>
                </c:pt>
                <c:pt idx="319">
                  <c:v>185.19016785426967</c:v>
                </c:pt>
                <c:pt idx="320">
                  <c:v>265.64933391521345</c:v>
                </c:pt>
                <c:pt idx="321">
                  <c:v>303.94154694107522</c:v>
                </c:pt>
                <c:pt idx="322">
                  <c:v>302.30433467233388</c:v>
                </c:pt>
                <c:pt idx="323">
                  <c:v>268.95778022921263</c:v>
                </c:pt>
                <c:pt idx="324">
                  <c:v>216.00352361477121</c:v>
                </c:pt>
                <c:pt idx="325">
                  <c:v>156.76989380015448</c:v>
                </c:pt>
                <c:pt idx="326">
                  <c:v>103.11387784821551</c:v>
                </c:pt>
                <c:pt idx="327">
                  <c:v>63.185832155557193</c:v>
                </c:pt>
                <c:pt idx="328">
                  <c:v>40.066240565161451</c:v>
                </c:pt>
                <c:pt idx="329">
                  <c:v>31.513377911019248</c:v>
                </c:pt>
                <c:pt idx="330">
                  <c:v>30.847619570830986</c:v>
                </c:pt>
                <c:pt idx="331">
                  <c:v>28.781200252184391</c:v>
                </c:pt>
                <c:pt idx="332">
                  <c:v>15.821072045828771</c:v>
                </c:pt>
                <c:pt idx="333">
                  <c:v>-15.239592003884269</c:v>
                </c:pt>
                <c:pt idx="334">
                  <c:v>-67.247823843684216</c:v>
                </c:pt>
                <c:pt idx="335">
                  <c:v>-137.46915665561096</c:v>
                </c:pt>
                <c:pt idx="336">
                  <c:v>-217.49669836666146</c:v>
                </c:pt>
                <c:pt idx="337">
                  <c:v>-294.35986017434584</c:v>
                </c:pt>
                <c:pt idx="338">
                  <c:v>-352.67426363063521</c:v>
                </c:pt>
                <c:pt idx="339">
                  <c:v>-377.47095356738339</c:v>
                </c:pt>
                <c:pt idx="340">
                  <c:v>-357.20114298359249</c:v>
                </c:pt>
                <c:pt idx="341">
                  <c:v>-286.35933890821212</c:v>
                </c:pt>
                <c:pt idx="342">
                  <c:v>-167.2144046118608</c:v>
                </c:pt>
                <c:pt idx="343">
                  <c:v>-10.278728848978801</c:v>
                </c:pt>
                <c:pt idx="344">
                  <c:v>166.6428525547984</c:v>
                </c:pt>
                <c:pt idx="345">
                  <c:v>340.73646851894466</c:v>
                </c:pt>
                <c:pt idx="346">
                  <c:v>487.46885369155171</c:v>
                </c:pt>
                <c:pt idx="347">
                  <c:v>584.36920350727894</c:v>
                </c:pt>
                <c:pt idx="348">
                  <c:v>614.68567536321575</c:v>
                </c:pt>
                <c:pt idx="349">
                  <c:v>570.29962793742766</c:v>
                </c:pt>
                <c:pt idx="350">
                  <c:v>453.38752388509704</c:v>
                </c:pt>
                <c:pt idx="351">
                  <c:v>276.51692310617682</c:v>
                </c:pt>
                <c:pt idx="352">
                  <c:v>61.116853232181242</c:v>
                </c:pt>
                <c:pt idx="353">
                  <c:v>-165.46860814672644</c:v>
                </c:pt>
                <c:pt idx="354">
                  <c:v>-373.89718655267973</c:v>
                </c:pt>
                <c:pt idx="355">
                  <c:v>-537.10371852179878</c:v>
                </c:pt>
                <c:pt idx="356">
                  <c:v>-634.2570787727459</c:v>
                </c:pt>
                <c:pt idx="357">
                  <c:v>-653.76961779948238</c:v>
                </c:pt>
                <c:pt idx="358">
                  <c:v>-594.88288917321552</c:v>
                </c:pt>
                <c:pt idx="359">
                  <c:v>-467.58601641516384</c:v>
                </c:pt>
                <c:pt idx="360">
                  <c:v>-290.89607972328605</c:v>
                </c:pt>
                <c:pt idx="361">
                  <c:v>-89.797149065951757</c:v>
                </c:pt>
                <c:pt idx="362">
                  <c:v>108.64924489400377</c:v>
                </c:pt>
                <c:pt idx="363">
                  <c:v>279.38084716703162</c:v>
                </c:pt>
                <c:pt idx="364">
                  <c:v>402.93772399429997</c:v>
                </c:pt>
                <c:pt idx="365">
                  <c:v>468.02280272007488</c:v>
                </c:pt>
                <c:pt idx="366">
                  <c:v>472.63815349522878</c:v>
                </c:pt>
                <c:pt idx="367">
                  <c:v>423.66431493737986</c:v>
                </c:pt>
                <c:pt idx="368">
                  <c:v>335.01745300520724</c:v>
                </c:pt>
                <c:pt idx="369">
                  <c:v>224.75854569829303</c:v>
                </c:pt>
                <c:pt idx="370">
                  <c:v>111.69876708165543</c:v>
                </c:pt>
                <c:pt idx="371">
                  <c:v>12.116867828482839</c:v>
                </c:pt>
                <c:pt idx="372">
                  <c:v>-62.833866845643939</c:v>
                </c:pt>
                <c:pt idx="373">
                  <c:v>-108.59160974423584</c:v>
                </c:pt>
                <c:pt idx="374">
                  <c:v>-127.30353037899047</c:v>
                </c:pt>
                <c:pt idx="375">
                  <c:v>-126.6262020585098</c:v>
                </c:pt>
                <c:pt idx="376">
                  <c:v>-117.48390391871274</c:v>
                </c:pt>
                <c:pt idx="377">
                  <c:v>-111.25058708687286</c:v>
                </c:pt>
                <c:pt idx="378">
                  <c:v>-116.92468541969669</c:v>
                </c:pt>
                <c:pt idx="379">
                  <c:v>-138.8633760956929</c:v>
                </c:pt>
                <c:pt idx="380">
                  <c:v>-175.53476219253707</c:v>
                </c:pt>
                <c:pt idx="381">
                  <c:v>-219.55225407339265</c:v>
                </c:pt>
                <c:pt idx="382">
                  <c:v>-259.01031959418242</c:v>
                </c:pt>
                <c:pt idx="383">
                  <c:v>-279.88934036072936</c:v>
                </c:pt>
                <c:pt idx="384">
                  <c:v>-269.08563494131704</c:v>
                </c:pt>
                <c:pt idx="385">
                  <c:v>-217.49011291200321</c:v>
                </c:pt>
                <c:pt idx="386">
                  <c:v>-122.51095824585531</c:v>
                </c:pt>
                <c:pt idx="387">
                  <c:v>10.480906140161608</c:v>
                </c:pt>
                <c:pt idx="388">
                  <c:v>168.12315530431749</c:v>
                </c:pt>
                <c:pt idx="389">
                  <c:v>330.54078799429664</c:v>
                </c:pt>
                <c:pt idx="390">
                  <c:v>474.15004626610443</c:v>
                </c:pt>
                <c:pt idx="391">
                  <c:v>575.35726856356916</c:v>
                </c:pt>
                <c:pt idx="392">
                  <c:v>614.54397346688995</c:v>
                </c:pt>
                <c:pt idx="393">
                  <c:v>579.65395017992478</c:v>
                </c:pt>
                <c:pt idx="394">
                  <c:v>468.74117610252358</c:v>
                </c:pt>
                <c:pt idx="395">
                  <c:v>290.99398711539618</c:v>
                </c:pt>
                <c:pt idx="396">
                  <c:v>65.996050268799834</c:v>
                </c:pt>
                <c:pt idx="397">
                  <c:v>-178.72260752142506</c:v>
                </c:pt>
                <c:pt idx="398">
                  <c:v>-411.50083854392801</c:v>
                </c:pt>
                <c:pt idx="399">
                  <c:v>-601.14623922405474</c:v>
                </c:pt>
                <c:pt idx="400">
                  <c:v>-721.59423551726991</c:v>
                </c:pt>
                <c:pt idx="401">
                  <c:v>-755.87738551150937</c:v>
                </c:pt>
                <c:pt idx="402">
                  <c:v>-698.75798487201087</c:v>
                </c:pt>
                <c:pt idx="403">
                  <c:v>-557.58877962717179</c:v>
                </c:pt>
                <c:pt idx="404">
                  <c:v>-351.25291708058387</c:v>
                </c:pt>
                <c:pt idx="405">
                  <c:v>-107.3471383942872</c:v>
                </c:pt>
                <c:pt idx="406">
                  <c:v>141.94123563160846</c:v>
                </c:pt>
                <c:pt idx="407">
                  <c:v>364.60132620413629</c:v>
                </c:pt>
                <c:pt idx="408">
                  <c:v>533.44665689256317</c:v>
                </c:pt>
                <c:pt idx="409">
                  <c:v>629.90784620055092</c:v>
                </c:pt>
                <c:pt idx="410">
                  <c:v>646.38348567400556</c:v>
                </c:pt>
                <c:pt idx="411">
                  <c:v>586.80912580346899</c:v>
                </c:pt>
                <c:pt idx="412">
                  <c:v>465.40501976109863</c:v>
                </c:pt>
                <c:pt idx="413">
                  <c:v>303.86652776358306</c:v>
                </c:pt>
                <c:pt idx="414">
                  <c:v>127.51492710324652</c:v>
                </c:pt>
                <c:pt idx="415">
                  <c:v>-38.912312912262507</c:v>
                </c:pt>
                <c:pt idx="416">
                  <c:v>-175.11076522986701</c:v>
                </c:pt>
                <c:pt idx="417">
                  <c:v>-268.06003537257891</c:v>
                </c:pt>
                <c:pt idx="418">
                  <c:v>-313.43126596625956</c:v>
                </c:pt>
                <c:pt idx="419">
                  <c:v>-315.37264309307858</c:v>
                </c:pt>
                <c:pt idx="420">
                  <c:v>-284.78750977313956</c:v>
                </c:pt>
                <c:pt idx="421">
                  <c:v>-236.48701746200325</c:v>
                </c:pt>
                <c:pt idx="422">
                  <c:v>-185.7934711493769</c:v>
                </c:pt>
                <c:pt idx="423">
                  <c:v>-145.25757076804132</c:v>
                </c:pt>
                <c:pt idx="424">
                  <c:v>-122.11779966856506</c:v>
                </c:pt>
                <c:pt idx="425">
                  <c:v>-116.98031115342278</c:v>
                </c:pt>
                <c:pt idx="426">
                  <c:v>-123.96048257054933</c:v>
                </c:pt>
                <c:pt idx="427">
                  <c:v>-132.24620343861727</c:v>
                </c:pt>
                <c:pt idx="428">
                  <c:v>-128.76927112389507</c:v>
                </c:pt>
                <c:pt idx="429">
                  <c:v>-101.45512222910668</c:v>
                </c:pt>
                <c:pt idx="430">
                  <c:v>-42.402485057136403</c:v>
                </c:pt>
                <c:pt idx="431">
                  <c:v>49.654045165019909</c:v>
                </c:pt>
                <c:pt idx="432">
                  <c:v>168.12302694771165</c:v>
                </c:pt>
                <c:pt idx="433">
                  <c:v>298.87865088272895</c:v>
                </c:pt>
                <c:pt idx="434">
                  <c:v>422.14491960176201</c:v>
                </c:pt>
                <c:pt idx="435">
                  <c:v>515.6658885218352</c:v>
                </c:pt>
                <c:pt idx="436">
                  <c:v>558.63539618929872</c:v>
                </c:pt>
                <c:pt idx="437">
                  <c:v>535.69800757104213</c:v>
                </c:pt>
                <c:pt idx="438">
                  <c:v>440.29140275109125</c:v>
                </c:pt>
                <c:pt idx="439">
                  <c:v>276.689177474394</c:v>
                </c:pt>
                <c:pt idx="440">
                  <c:v>60.308973878572488</c:v>
                </c:pt>
                <c:pt idx="441">
                  <c:v>-183.85998152161716</c:v>
                </c:pt>
                <c:pt idx="442">
                  <c:v>-424.53276225261249</c:v>
                </c:pt>
                <c:pt idx="443">
                  <c:v>-628.62989204459461</c:v>
                </c:pt>
                <c:pt idx="444">
                  <c:v>-766.29976654753602</c:v>
                </c:pt>
                <c:pt idx="445">
                  <c:v>-815.64836700128239</c:v>
                </c:pt>
                <c:pt idx="446">
                  <c:v>-766.38925303954784</c:v>
                </c:pt>
                <c:pt idx="447">
                  <c:v>-621.7883376667728</c:v>
                </c:pt>
                <c:pt idx="448">
                  <c:v>-398.54828041505868</c:v>
                </c:pt>
                <c:pt idx="449">
                  <c:v>-124.61167189579973</c:v>
                </c:pt>
                <c:pt idx="450">
                  <c:v>164.79576206197788</c:v>
                </c:pt>
                <c:pt idx="451">
                  <c:v>432.2690361773133</c:v>
                </c:pt>
                <c:pt idx="452">
                  <c:v>643.67054735590136</c:v>
                </c:pt>
                <c:pt idx="453">
                  <c:v>773.05699753158683</c:v>
                </c:pt>
                <c:pt idx="454">
                  <c:v>806.3094985335606</c:v>
                </c:pt>
                <c:pt idx="455">
                  <c:v>742.90447476007137</c:v>
                </c:pt>
                <c:pt idx="456">
                  <c:v>595.57063996330794</c:v>
                </c:pt>
                <c:pt idx="457">
                  <c:v>387.92562436206816</c:v>
                </c:pt>
                <c:pt idx="458">
                  <c:v>150.51555229235061</c:v>
                </c:pt>
                <c:pt idx="459">
                  <c:v>-84.063877629043958</c:v>
                </c:pt>
                <c:pt idx="460">
                  <c:v>-286.14839290682841</c:v>
                </c:pt>
                <c:pt idx="461">
                  <c:v>-433.27385515377006</c:v>
                </c:pt>
                <c:pt idx="462">
                  <c:v>-513.05852305765552</c:v>
                </c:pt>
                <c:pt idx="463">
                  <c:v>-524.27749329047356</c:v>
                </c:pt>
                <c:pt idx="464">
                  <c:v>-476.02829654159672</c:v>
                </c:pt>
                <c:pt idx="465">
                  <c:v>-385.21813804268254</c:v>
                </c:pt>
                <c:pt idx="466">
                  <c:v>-272.8879822457269</c:v>
                </c:pt>
                <c:pt idx="467">
                  <c:v>-160.07725354503782</c:v>
                </c:pt>
                <c:pt idx="468">
                  <c:v>-63.993283148712976</c:v>
                </c:pt>
                <c:pt idx="469">
                  <c:v>4.8274481176315476</c:v>
                </c:pt>
                <c:pt idx="470">
                  <c:v>43.878553483438793</c:v>
                </c:pt>
                <c:pt idx="471">
                  <c:v>58.360488975114592</c:v>
                </c:pt>
                <c:pt idx="472">
                  <c:v>59.290036329342918</c:v>
                </c:pt>
                <c:pt idx="473">
                  <c:v>60.451674862031695</c:v>
                </c:pt>
                <c:pt idx="474">
                  <c:v>74.816343603785072</c:v>
                </c:pt>
                <c:pt idx="475">
                  <c:v>111.15254990158621</c:v>
                </c:pt>
                <c:pt idx="476">
                  <c:v>171.51906565683686</c:v>
                </c:pt>
                <c:pt idx="477">
                  <c:v>250.1636536576741</c:v>
                </c:pt>
                <c:pt idx="478">
                  <c:v>334.08783926271724</c:v>
                </c:pt>
                <c:pt idx="479">
                  <c:v>405.22134859236928</c:v>
                </c:pt>
                <c:pt idx="480">
                  <c:v>443.83890848973499</c:v>
                </c:pt>
                <c:pt idx="481">
                  <c:v>432.60363072679331</c:v>
                </c:pt>
                <c:pt idx="482">
                  <c:v>360.48150706450718</c:v>
                </c:pt>
                <c:pt idx="483">
                  <c:v>225.76789852272702</c:v>
                </c:pt>
                <c:pt idx="484">
                  <c:v>37.602474691905286</c:v>
                </c:pt>
                <c:pt idx="485">
                  <c:v>-184.39792412741892</c:v>
                </c:pt>
                <c:pt idx="486">
                  <c:v>-412.4316762981797</c:v>
                </c:pt>
                <c:pt idx="487">
                  <c:v>-614.42853848589334</c:v>
                </c:pt>
                <c:pt idx="488">
                  <c:v>-758.98714612763661</c:v>
                </c:pt>
                <c:pt idx="489">
                  <c:v>-820.52842502836052</c:v>
                </c:pt>
                <c:pt idx="490">
                  <c:v>-783.79224641904341</c:v>
                </c:pt>
                <c:pt idx="491">
                  <c:v>-646.88771346296994</c:v>
                </c:pt>
                <c:pt idx="492">
                  <c:v>-422.32923598244963</c:v>
                </c:pt>
                <c:pt idx="493">
                  <c:v>-135.81506792966604</c:v>
                </c:pt>
                <c:pt idx="494">
                  <c:v>177.1220824165614</c:v>
                </c:pt>
                <c:pt idx="495">
                  <c:v>476.10482253379848</c:v>
                </c:pt>
                <c:pt idx="496">
                  <c:v>721.77229573974728</c:v>
                </c:pt>
                <c:pt idx="497">
                  <c:v>881.58807990493301</c:v>
                </c:pt>
                <c:pt idx="498">
                  <c:v>934.6675225340307</c:v>
                </c:pt>
                <c:pt idx="499">
                  <c:v>874.84986871091837</c:v>
                </c:pt>
                <c:pt idx="500">
                  <c:v>711.52332204456161</c:v>
                </c:pt>
                <c:pt idx="501">
                  <c:v>468.07683761214616</c:v>
                </c:pt>
                <c:pt idx="502">
                  <c:v>178.23931588492007</c:v>
                </c:pt>
                <c:pt idx="503">
                  <c:v>-119.09047906721364</c:v>
                </c:pt>
                <c:pt idx="504">
                  <c:v>-385.67942766334301</c:v>
                </c:pt>
                <c:pt idx="505">
                  <c:v>-589.51913972322575</c:v>
                </c:pt>
                <c:pt idx="506">
                  <c:v>-709.2271979483711</c:v>
                </c:pt>
                <c:pt idx="507">
                  <c:v>-736.61668298079053</c:v>
                </c:pt>
                <c:pt idx="508">
                  <c:v>-677.07820165704334</c:v>
                </c:pt>
                <c:pt idx="509">
                  <c:v>-547.79189370013682</c:v>
                </c:pt>
                <c:pt idx="510">
                  <c:v>-374.15070834344351</c:v>
                </c:pt>
                <c:pt idx="511">
                  <c:v>-185.06809132557095</c:v>
                </c:pt>
                <c:pt idx="512">
                  <c:v>-8.0135159598181076</c:v>
                </c:pt>
                <c:pt idx="513">
                  <c:v>135.36001537704175</c:v>
                </c:pt>
                <c:pt idx="514">
                  <c:v>232.26296509466081</c:v>
                </c:pt>
                <c:pt idx="515">
                  <c:v>280.01422782701462</c:v>
                </c:pt>
                <c:pt idx="516">
                  <c:v>285.34404534320953</c:v>
                </c:pt>
                <c:pt idx="517">
                  <c:v>261.97016439747142</c:v>
                </c:pt>
                <c:pt idx="518">
                  <c:v>226.97306475949358</c:v>
                </c:pt>
                <c:pt idx="519">
                  <c:v>196.70652718920189</c:v>
                </c:pt>
                <c:pt idx="520">
                  <c:v>183.05298090869286</c:v>
                </c:pt>
                <c:pt idx="521">
                  <c:v>190.75649179866286</c:v>
                </c:pt>
                <c:pt idx="522">
                  <c:v>216.35437326644762</c:v>
                </c:pt>
                <c:pt idx="523">
                  <c:v>248.9200277195304</c:v>
                </c:pt>
                <c:pt idx="524">
                  <c:v>272.48102432847986</c:v>
                </c:pt>
                <c:pt idx="525">
                  <c:v>269.65129094257844</c:v>
                </c:pt>
                <c:pt idx="526">
                  <c:v>225.77440057930113</c:v>
                </c:pt>
                <c:pt idx="527">
                  <c:v>132.761346724931</c:v>
                </c:pt>
                <c:pt idx="528">
                  <c:v>-8.1568355535824821</c:v>
                </c:pt>
                <c:pt idx="529">
                  <c:v>-185.35848612033072</c:v>
                </c:pt>
                <c:pt idx="530">
                  <c:v>-377.74221117618038</c:v>
                </c:pt>
                <c:pt idx="531">
                  <c:v>-557.55869632400743</c:v>
                </c:pt>
                <c:pt idx="532">
                  <c:v>-694.74442175124273</c:v>
                </c:pt>
                <c:pt idx="533">
                  <c:v>-762.04601465831843</c:v>
                </c:pt>
                <c:pt idx="534">
                  <c:v>-740.05176841109517</c:v>
                </c:pt>
                <c:pt idx="535">
                  <c:v>-621.22795070953418</c:v>
                </c:pt>
                <c:pt idx="536">
                  <c:v>-412.19847934260076</c:v>
                </c:pt>
                <c:pt idx="537">
                  <c:v>-133.78575812692341</c:v>
                </c:pt>
                <c:pt idx="538">
                  <c:v>181.2983633418458</c:v>
                </c:pt>
                <c:pt idx="539">
                  <c:v>492.82255603402308</c:v>
                </c:pt>
                <c:pt idx="540">
                  <c:v>758.81824947560312</c:v>
                </c:pt>
                <c:pt idx="541">
                  <c:v>941.86909153549743</c:v>
                </c:pt>
                <c:pt idx="542">
                  <c:v>1014.8953826951461</c:v>
                </c:pt>
                <c:pt idx="543">
                  <c:v>965.48382676349843</c:v>
                </c:pt>
                <c:pt idx="544">
                  <c:v>798.03679525646646</c:v>
                </c:pt>
                <c:pt idx="545">
                  <c:v>533.36403043281962</c:v>
                </c:pt>
                <c:pt idx="546">
                  <c:v>205.75514327899901</c:v>
                </c:pt>
                <c:pt idx="547">
                  <c:v>-142.01662678334364</c:v>
                </c:pt>
                <c:pt idx="548">
                  <c:v>-464.96998124689458</c:v>
                </c:pt>
                <c:pt idx="549">
                  <c:v>-722.47289004918559</c:v>
                </c:pt>
                <c:pt idx="550">
                  <c:v>-884.04212213409937</c:v>
                </c:pt>
                <c:pt idx="551">
                  <c:v>-933.47663722290486</c:v>
                </c:pt>
                <c:pt idx="552">
                  <c:v>-870.69829755165699</c:v>
                </c:pt>
                <c:pt idx="553">
                  <c:v>-711.05738824865125</c:v>
                </c:pt>
                <c:pt idx="554">
                  <c:v>-482.28094369919535</c:v>
                </c:pt>
                <c:pt idx="555">
                  <c:v>-219.62710025447728</c:v>
                </c:pt>
                <c:pt idx="556">
                  <c:v>39.906721887851461</c:v>
                </c:pt>
                <c:pt idx="557">
                  <c:v>263.33770583131644</c:v>
                </c:pt>
                <c:pt idx="558">
                  <c:v>426.46319967800531</c:v>
                </c:pt>
                <c:pt idx="559">
                  <c:v>516.88339497969264</c:v>
                </c:pt>
                <c:pt idx="560">
                  <c:v>534.84854624124034</c:v>
                </c:pt>
                <c:pt idx="561">
                  <c:v>491.88859561843054</c:v>
                </c:pt>
                <c:pt idx="562">
                  <c:v>407.57276425346527</c:v>
                </c:pt>
                <c:pt idx="563">
                  <c:v>305.067104066333</c:v>
                </c:pt>
                <c:pt idx="564">
                  <c:v>206.35337561409472</c:v>
                </c:pt>
                <c:pt idx="565">
                  <c:v>128.0096486841212</c:v>
                </c:pt>
                <c:pt idx="566">
                  <c:v>78.326753350974514</c:v>
                </c:pt>
                <c:pt idx="567">
                  <c:v>56.2692998295839</c:v>
                </c:pt>
                <c:pt idx="568">
                  <c:v>52.434360541543299</c:v>
                </c:pt>
                <c:pt idx="569">
                  <c:v>51.780017371980854</c:v>
                </c:pt>
                <c:pt idx="570">
                  <c:v>37.559208280828045</c:v>
                </c:pt>
                <c:pt idx="571">
                  <c:v>-4.3369054255530273</c:v>
                </c:pt>
                <c:pt idx="572">
                  <c:v>-81.505005199855248</c:v>
                </c:pt>
                <c:pt idx="573">
                  <c:v>-192.42333506523806</c:v>
                </c:pt>
                <c:pt idx="574">
                  <c:v>-325.68033781457444</c:v>
                </c:pt>
                <c:pt idx="575">
                  <c:v>-461.26522650990637</c:v>
                </c:pt>
                <c:pt idx="576">
                  <c:v>-573.75900270796876</c:v>
                </c:pt>
                <c:pt idx="577">
                  <c:v>-636.89798440144887</c:v>
                </c:pt>
                <c:pt idx="578">
                  <c:v>-628.70463310635193</c:v>
                </c:pt>
                <c:pt idx="579">
                  <c:v>-536.24425608574666</c:v>
                </c:pt>
                <c:pt idx="580">
                  <c:v>-359.09825359315681</c:v>
                </c:pt>
                <c:pt idx="581">
                  <c:v>-110.84248205513239</c:v>
                </c:pt>
                <c:pt idx="582">
                  <c:v>181.84911414130138</c:v>
                </c:pt>
                <c:pt idx="583">
                  <c:v>482.44657319261017</c:v>
                </c:pt>
                <c:pt idx="584">
                  <c:v>749.70743212026184</c:v>
                </c:pt>
                <c:pt idx="585">
                  <c:v>943.92899580147969</c:v>
                </c:pt>
                <c:pt idx="586">
                  <c:v>1033.2975049241338</c:v>
                </c:pt>
                <c:pt idx="587">
                  <c:v>999.27319069965461</c:v>
                </c:pt>
                <c:pt idx="588">
                  <c:v>840.08264285399696</c:v>
                </c:pt>
                <c:pt idx="589">
                  <c:v>571.68408073090131</c:v>
                </c:pt>
                <c:pt idx="590">
                  <c:v>225.97881885625856</c:v>
                </c:pt>
                <c:pt idx="591">
                  <c:v>-153.50491946736099</c:v>
                </c:pt>
                <c:pt idx="592">
                  <c:v>-517.80852874840434</c:v>
                </c:pt>
                <c:pt idx="593">
                  <c:v>-819.65521318081437</c:v>
                </c:pt>
                <c:pt idx="594">
                  <c:v>-1020.3544070571174</c:v>
                </c:pt>
                <c:pt idx="595">
                  <c:v>-1095.4027718415937</c:v>
                </c:pt>
                <c:pt idx="596">
                  <c:v>-1037.8965771350945</c:v>
                </c:pt>
                <c:pt idx="597">
                  <c:v>-859.22825951402217</c:v>
                </c:pt>
                <c:pt idx="598">
                  <c:v>-586.98501715060581</c:v>
                </c:pt>
                <c:pt idx="599">
                  <c:v>-260.42405899782705</c:v>
                </c:pt>
                <c:pt idx="600">
                  <c:v>75.709741262285633</c:v>
                </c:pt>
                <c:pt idx="601">
                  <c:v>377.99846881822776</c:v>
                </c:pt>
                <c:pt idx="602">
                  <c:v>610.68791947599539</c:v>
                </c:pt>
                <c:pt idx="603">
                  <c:v>750.53922354006954</c:v>
                </c:pt>
                <c:pt idx="604">
                  <c:v>789.45933846068738</c:v>
                </c:pt>
                <c:pt idx="605">
                  <c:v>734.56575403487216</c:v>
                </c:pt>
                <c:pt idx="606">
                  <c:v>605.78351492905983</c:v>
                </c:pt>
                <c:pt idx="607">
                  <c:v>431.48977110277553</c:v>
                </c:pt>
                <c:pt idx="608">
                  <c:v>243.04052840577816</c:v>
                </c:pt>
                <c:pt idx="609">
                  <c:v>69.181731433481787</c:v>
                </c:pt>
                <c:pt idx="610">
                  <c:v>-68.665022746797092</c:v>
                </c:pt>
                <c:pt idx="611">
                  <c:v>-159.4385276294378</c:v>
                </c:pt>
                <c:pt idx="612">
                  <c:v>-203.31844258362338</c:v>
                </c:pt>
                <c:pt idx="613">
                  <c:v>-210.37904803531396</c:v>
                </c:pt>
                <c:pt idx="614">
                  <c:v>-197.35765001640544</c:v>
                </c:pt>
                <c:pt idx="615">
                  <c:v>-183.22360202687605</c:v>
                </c:pt>
                <c:pt idx="616">
                  <c:v>-184.44877452595392</c:v>
                </c:pt>
                <c:pt idx="617">
                  <c:v>-210.9270666361175</c:v>
                </c:pt>
                <c:pt idx="618">
                  <c:v>-263.36114389445669</c:v>
                </c:pt>
                <c:pt idx="619">
                  <c:v>-332.65267147190457</c:v>
                </c:pt>
                <c:pt idx="620">
                  <c:v>-401.44913534772564</c:v>
                </c:pt>
                <c:pt idx="621">
                  <c:v>-447.58562106985539</c:v>
                </c:pt>
                <c:pt idx="622">
                  <c:v>-448.78942946554184</c:v>
                </c:pt>
                <c:pt idx="623">
                  <c:v>-387.75744736197146</c:v>
                </c:pt>
                <c:pt idx="624">
                  <c:v>-256.61929527299372</c:v>
                </c:pt>
                <c:pt idx="625">
                  <c:v>-59.883389615040585</c:v>
                </c:pt>
                <c:pt idx="626">
                  <c:v>184.78425774395072</c:v>
                </c:pt>
                <c:pt idx="627">
                  <c:v>448.22032308864891</c:v>
                </c:pt>
                <c:pt idx="628">
                  <c:v>693.69732868157598</c:v>
                </c:pt>
                <c:pt idx="629">
                  <c:v>882.54335215420383</c:v>
                </c:pt>
                <c:pt idx="630">
                  <c:v>980.53528617202096</c:v>
                </c:pt>
                <c:pt idx="631">
                  <c:v>963.97944528587641</c:v>
                </c:pt>
                <c:pt idx="632">
                  <c:v>824.40736476185816</c:v>
                </c:pt>
                <c:pt idx="633">
                  <c:v>571.017183853804</c:v>
                </c:pt>
                <c:pt idx="634">
                  <c:v>230.35019720292573</c:v>
                </c:pt>
                <c:pt idx="635">
                  <c:v>-156.85174086509221</c:v>
                </c:pt>
                <c:pt idx="636">
                  <c:v>-541.18671124629839</c:v>
                </c:pt>
                <c:pt idx="637">
                  <c:v>-871.69666470326615</c:v>
                </c:pt>
                <c:pt idx="638">
                  <c:v>-1103.4214405341877</c:v>
                </c:pt>
                <c:pt idx="639">
                  <c:v>-1204.1944458965788</c:v>
                </c:pt>
                <c:pt idx="640">
                  <c:v>-1159.5786227928415</c:v>
                </c:pt>
                <c:pt idx="641">
                  <c:v>-975.13417102737913</c:v>
                </c:pt>
                <c:pt idx="642">
                  <c:v>-675.63979143601648</c:v>
                </c:pt>
                <c:pt idx="643">
                  <c:v>-301.38479991074752</c:v>
                </c:pt>
                <c:pt idx="644">
                  <c:v>97.87330125870939</c:v>
                </c:pt>
                <c:pt idx="645">
                  <c:v>470.31305125373763</c:v>
                </c:pt>
                <c:pt idx="646">
                  <c:v>769.62712902622525</c:v>
                </c:pt>
                <c:pt idx="647">
                  <c:v>961.57019957106286</c:v>
                </c:pt>
                <c:pt idx="648">
                  <c:v>1028.4571103174067</c:v>
                </c:pt>
                <c:pt idx="649">
                  <c:v>970.94520235442701</c:v>
                </c:pt>
                <c:pt idx="650">
                  <c:v>806.89487019023261</c:v>
                </c:pt>
                <c:pt idx="651">
                  <c:v>567.59074160091609</c:v>
                </c:pt>
                <c:pt idx="652">
                  <c:v>292.03829422227892</c:v>
                </c:pt>
                <c:pt idx="653">
                  <c:v>20.353907591083669</c:v>
                </c:pt>
                <c:pt idx="654">
                  <c:v>-212.61029519543803</c:v>
                </c:pt>
                <c:pt idx="655">
                  <c:v>-382.34089531820592</c:v>
                </c:pt>
                <c:pt idx="656">
                  <c:v>-477.62942171593602</c:v>
                </c:pt>
                <c:pt idx="657">
                  <c:v>-501.01669666445207</c:v>
                </c:pt>
                <c:pt idx="658">
                  <c:v>-466.7598185037179</c:v>
                </c:pt>
                <c:pt idx="659">
                  <c:v>-396.80727814135685</c:v>
                </c:pt>
                <c:pt idx="660">
                  <c:v>-315.61339100029721</c:v>
                </c:pt>
                <c:pt idx="661">
                  <c:v>-244.81306844979366</c:v>
                </c:pt>
                <c:pt idx="662">
                  <c:v>-198.77948655878566</c:v>
                </c:pt>
                <c:pt idx="663">
                  <c:v>-181.90174697747369</c:v>
                </c:pt>
                <c:pt idx="664">
                  <c:v>-188.08194890305583</c:v>
                </c:pt>
                <c:pt idx="665">
                  <c:v>-202.52322069882544</c:v>
                </c:pt>
                <c:pt idx="666">
                  <c:v>-205.44037339881737</c:v>
                </c:pt>
                <c:pt idx="667">
                  <c:v>-176.95331733709284</c:v>
                </c:pt>
                <c:pt idx="668">
                  <c:v>-102.18843602060701</c:v>
                </c:pt>
                <c:pt idx="669">
                  <c:v>24.441473735888167</c:v>
                </c:pt>
                <c:pt idx="670">
                  <c:v>196.67088449794653</c:v>
                </c:pt>
                <c:pt idx="671">
                  <c:v>396.1151969529825</c:v>
                </c:pt>
                <c:pt idx="672">
                  <c:v>594.47006036651055</c:v>
                </c:pt>
                <c:pt idx="673">
                  <c:v>757.88158862052046</c:v>
                </c:pt>
                <c:pt idx="674">
                  <c:v>852.77552216976642</c:v>
                </c:pt>
                <c:pt idx="675">
                  <c:v>852.13577593316711</c:v>
                </c:pt>
                <c:pt idx="676">
                  <c:v>741.10067079567943</c:v>
                </c:pt>
                <c:pt idx="677">
                  <c:v>520.82380670390637</c:v>
                </c:pt>
                <c:pt idx="678">
                  <c:v>209.81595152696386</c:v>
                </c:pt>
                <c:pt idx="679">
                  <c:v>-157.5995429869763</c:v>
                </c:pt>
                <c:pt idx="680">
                  <c:v>-535.59304768033678</c:v>
                </c:pt>
                <c:pt idx="681">
                  <c:v>-873.28864477905211</c:v>
                </c:pt>
                <c:pt idx="682">
                  <c:v>-1122.380109295415</c:v>
                </c:pt>
                <c:pt idx="683">
                  <c:v>-1244.6786593298395</c:v>
                </c:pt>
                <c:pt idx="684">
                  <c:v>-1218.34678622464</c:v>
                </c:pt>
                <c:pt idx="685">
                  <c:v>-1041.7629218842999</c:v>
                </c:pt>
                <c:pt idx="686">
                  <c:v>-734.33428214243486</c:v>
                </c:pt>
                <c:pt idx="687">
                  <c:v>-334.06841422411458</c:v>
                </c:pt>
                <c:pt idx="688">
                  <c:v>107.75507451330833</c:v>
                </c:pt>
                <c:pt idx="689">
                  <c:v>533.99238630844536</c:v>
                </c:pt>
                <c:pt idx="690">
                  <c:v>889.95781540023654</c:v>
                </c:pt>
                <c:pt idx="691">
                  <c:v>1131.3431201261146</c:v>
                </c:pt>
                <c:pt idx="692">
                  <c:v>1230.4836099662562</c:v>
                </c:pt>
                <c:pt idx="693">
                  <c:v>1179.9954511884066</c:v>
                </c:pt>
                <c:pt idx="694">
                  <c:v>993.24479169152221</c:v>
                </c:pt>
                <c:pt idx="695">
                  <c:v>701.63237581874296</c:v>
                </c:pt>
                <c:pt idx="696">
                  <c:v>349.19838892007169</c:v>
                </c:pt>
                <c:pt idx="697">
                  <c:v>-14.516999809081028</c:v>
                </c:pt>
                <c:pt idx="698">
                  <c:v>-342.15399164762789</c:v>
                </c:pt>
                <c:pt idx="699">
                  <c:v>-595.48994611818557</c:v>
                </c:pt>
              </c:numCache>
            </c:numRef>
          </c:xVal>
          <c:yVal>
            <c:numRef>
              <c:f>Hypocloid!$F$7:$F$706</c:f>
              <c:numCache>
                <c:formatCode>General</c:formatCode>
                <c:ptCount val="700"/>
                <c:pt idx="0">
                  <c:v>0</c:v>
                </c:pt>
                <c:pt idx="1">
                  <c:v>-0.54737903097609086</c:v>
                </c:pt>
                <c:pt idx="2">
                  <c:v>-1.589957685459304</c:v>
                </c:pt>
                <c:pt idx="3">
                  <c:v>-3.6025095045340367</c:v>
                </c:pt>
                <c:pt idx="4">
                  <c:v>-5.3546621724302792</c:v>
                </c:pt>
                <c:pt idx="5">
                  <c:v>-6.3808992375564539</c:v>
                </c:pt>
                <c:pt idx="6">
                  <c:v>-6.3042157973187427</c:v>
                </c:pt>
                <c:pt idx="7">
                  <c:v>-4.9860705888096657</c:v>
                </c:pt>
                <c:pt idx="8">
                  <c:v>-2.5610784437153633</c:v>
                </c:pt>
                <c:pt idx="9">
                  <c:v>0.59622328753089526</c:v>
                </c:pt>
                <c:pt idx="10">
                  <c:v>3.9591103264386818</c:v>
                </c:pt>
                <c:pt idx="11">
                  <c:v>6.9693315236084459</c:v>
                </c:pt>
                <c:pt idx="12">
                  <c:v>9.1624915355095684</c:v>
                </c:pt>
                <c:pt idx="13">
                  <c:v>10.269065788439416</c:v>
                </c:pt>
                <c:pt idx="14">
                  <c:v>10.267432863712106</c:v>
                </c:pt>
                <c:pt idx="15">
                  <c:v>9.3761169939349909</c:v>
                </c:pt>
                <c:pt idx="16">
                  <c:v>7.9863219287030578</c:v>
                </c:pt>
                <c:pt idx="17">
                  <c:v>6.5498328082058972</c:v>
                </c:pt>
                <c:pt idx="18">
                  <c:v>5.4483894161959814</c:v>
                </c:pt>
                <c:pt idx="19">
                  <c:v>4.8761646388458892</c:v>
                </c:pt>
                <c:pt idx="20">
                  <c:v>4.765585568805955</c:v>
                </c:pt>
                <c:pt idx="21">
                  <c:v>4.7784139342594294</c:v>
                </c:pt>
                <c:pt idx="22">
                  <c:v>4.3702419286068661</c:v>
                </c:pt>
                <c:pt idx="23">
                  <c:v>2.9200700427509307</c:v>
                </c:pt>
                <c:pt idx="24">
                  <c:v>-9.9164437132017724E-2</c:v>
                </c:pt>
                <c:pt idx="25">
                  <c:v>-4.944897635490431</c:v>
                </c:pt>
                <c:pt idx="26">
                  <c:v>-11.464632340567658</c:v>
                </c:pt>
                <c:pt idx="27">
                  <c:v>-19.027934572100342</c:v>
                </c:pt>
                <c:pt idx="28">
                  <c:v>-26.555827292516405</c:v>
                </c:pt>
                <c:pt idx="29">
                  <c:v>-32.654522726443034</c:v>
                </c:pt>
                <c:pt idx="30">
                  <c:v>-35.83923975999317</c:v>
                </c:pt>
                <c:pt idx="31">
                  <c:v>-34.813717683848814</c:v>
                </c:pt>
                <c:pt idx="32">
                  <c:v>-28.756105909094906</c:v>
                </c:pt>
                <c:pt idx="33">
                  <c:v>-17.555544548642494</c:v>
                </c:pt>
                <c:pt idx="34">
                  <c:v>-1.9478296519202907</c:v>
                </c:pt>
                <c:pt idx="35">
                  <c:v>16.486977932628598</c:v>
                </c:pt>
                <c:pt idx="36">
                  <c:v>35.47937201219694</c:v>
                </c:pt>
                <c:pt idx="37">
                  <c:v>52.364757473972531</c:v>
                </c:pt>
                <c:pt idx="38">
                  <c:v>64.477586916776247</c:v>
                </c:pt>
                <c:pt idx="39">
                  <c:v>69.584145734951761</c:v>
                </c:pt>
                <c:pt idx="40">
                  <c:v>66.281302823232821</c:v>
                </c:pt>
                <c:pt idx="41">
                  <c:v>54.289534409352861</c:v>
                </c:pt>
                <c:pt idx="42">
                  <c:v>34.582574404226392</c:v>
                </c:pt>
                <c:pt idx="43">
                  <c:v>9.3212607463294468</c:v>
                </c:pt>
                <c:pt idx="44">
                  <c:v>-18.408504337486512</c:v>
                </c:pt>
                <c:pt idx="45">
                  <c:v>-45.019811861034114</c:v>
                </c:pt>
                <c:pt idx="46">
                  <c:v>-66.947459927019793</c:v>
                </c:pt>
                <c:pt idx="47">
                  <c:v>-81.186416092487335</c:v>
                </c:pt>
                <c:pt idx="48">
                  <c:v>-85.757409184602011</c:v>
                </c:pt>
                <c:pt idx="49">
                  <c:v>-80.020670815211787</c:v>
                </c:pt>
                <c:pt idx="50">
                  <c:v>-64.782620867910197</c:v>
                </c:pt>
                <c:pt idx="51">
                  <c:v>-42.174386310972331</c:v>
                </c:pt>
                <c:pt idx="52">
                  <c:v>-15.319663719078303</c:v>
                </c:pt>
                <c:pt idx="53">
                  <c:v>12.154194140440943</c:v>
                </c:pt>
                <c:pt idx="54">
                  <c:v>36.680418063128087</c:v>
                </c:pt>
                <c:pt idx="55">
                  <c:v>55.297291158404761</c:v>
                </c:pt>
                <c:pt idx="56">
                  <c:v>66.080742781200087</c:v>
                </c:pt>
                <c:pt idx="57">
                  <c:v>68.392360562047614</c:v>
                </c:pt>
                <c:pt idx="58">
                  <c:v>62.902689329691199</c:v>
                </c:pt>
                <c:pt idx="59">
                  <c:v>51.389750463069383</c:v>
                </c:pt>
                <c:pt idx="60">
                  <c:v>36.353098239757607</c:v>
                </c:pt>
                <c:pt idx="61">
                  <c:v>20.517062394922689</c:v>
                </c:pt>
                <c:pt idx="62">
                  <c:v>6.3168912264496484</c:v>
                </c:pt>
                <c:pt idx="63">
                  <c:v>-4.535588514328289</c:v>
                </c:pt>
                <c:pt idx="64">
                  <c:v>-11.325244195241574</c:v>
                </c:pt>
                <c:pt idx="65">
                  <c:v>-14.394818805602265</c:v>
                </c:pt>
                <c:pt idx="66">
                  <c:v>-14.983558651027119</c:v>
                </c:pt>
                <c:pt idx="67">
                  <c:v>-14.876004841683251</c:v>
                </c:pt>
                <c:pt idx="68">
                  <c:v>-15.93139289183906</c:v>
                </c:pt>
                <c:pt idx="69">
                  <c:v>-19.589127505737515</c:v>
                </c:pt>
                <c:pt idx="70">
                  <c:v>-26.453058582722107</c:v>
                </c:pt>
                <c:pt idx="71">
                  <c:v>-36.044908490053608</c:v>
                </c:pt>
                <c:pt idx="72">
                  <c:v>-46.786942349823519</c:v>
                </c:pt>
                <c:pt idx="73">
                  <c:v>-56.230985845276415</c:v>
                </c:pt>
                <c:pt idx="74">
                  <c:v>-61.502875521355577</c:v>
                </c:pt>
                <c:pt idx="75">
                  <c:v>-59.887263519106085</c:v>
                </c:pt>
                <c:pt idx="76">
                  <c:v>-49.445863370645043</c:v>
                </c:pt>
                <c:pt idx="77">
                  <c:v>-29.549189952409534</c:v>
                </c:pt>
                <c:pt idx="78">
                  <c:v>-1.2108329901568808</c:v>
                </c:pt>
                <c:pt idx="79">
                  <c:v>32.856426889868914</c:v>
                </c:pt>
                <c:pt idx="80">
                  <c:v>68.496483564939865</c:v>
                </c:pt>
                <c:pt idx="81">
                  <c:v>100.65601959382519</c:v>
                </c:pt>
                <c:pt idx="82">
                  <c:v>124.14468231537313</c:v>
                </c:pt>
                <c:pt idx="83">
                  <c:v>134.48973940872844</c:v>
                </c:pt>
                <c:pt idx="84">
                  <c:v>128.7416126409608</c:v>
                </c:pt>
                <c:pt idx="85">
                  <c:v>106.08716873321194</c:v>
                </c:pt>
                <c:pt idx="86">
                  <c:v>68.153525889090474</c:v>
                </c:pt>
                <c:pt idx="87">
                  <c:v>18.932798238839084</c:v>
                </c:pt>
                <c:pt idx="88">
                  <c:v>-35.679972282325153</c:v>
                </c:pt>
                <c:pt idx="89">
                  <c:v>-88.677838393250852</c:v>
                </c:pt>
                <c:pt idx="90">
                  <c:v>-132.94604772672756</c:v>
                </c:pt>
                <c:pt idx="91">
                  <c:v>-162.32328304121822</c:v>
                </c:pt>
                <c:pt idx="92">
                  <c:v>-172.54949564582802</c:v>
                </c:pt>
                <c:pt idx="93">
                  <c:v>-161.94385333337965</c:v>
                </c:pt>
                <c:pt idx="94">
                  <c:v>-131.69734996757478</c:v>
                </c:pt>
                <c:pt idx="95">
                  <c:v>-85.726135483535757</c:v>
                </c:pt>
                <c:pt idx="96">
                  <c:v>-30.103435920032481</c:v>
                </c:pt>
                <c:pt idx="97">
                  <c:v>27.842139021917021</c:v>
                </c:pt>
                <c:pt idx="98">
                  <c:v>80.618130056967075</c:v>
                </c:pt>
                <c:pt idx="99">
                  <c:v>121.67364887534934</c:v>
                </c:pt>
                <c:pt idx="100">
                  <c:v>146.34016400015918</c:v>
                </c:pt>
                <c:pt idx="101">
                  <c:v>152.45691830173615</c:v>
                </c:pt>
                <c:pt idx="102">
                  <c:v>140.58382325496086</c:v>
                </c:pt>
                <c:pt idx="103">
                  <c:v>113.77491732934715</c:v>
                </c:pt>
                <c:pt idx="104">
                  <c:v>76.960242371523208</c:v>
                </c:pt>
                <c:pt idx="105">
                  <c:v>36.050241742031133</c:v>
                </c:pt>
                <c:pt idx="106">
                  <c:v>-3.0771249141284756</c:v>
                </c:pt>
                <c:pt idx="107">
                  <c:v>-35.52858506731274</c:v>
                </c:pt>
                <c:pt idx="108">
                  <c:v>-58.122853365974827</c:v>
                </c:pt>
                <c:pt idx="109">
                  <c:v>-69.771668046607289</c:v>
                </c:pt>
                <c:pt idx="110">
                  <c:v>-71.457566214264759</c:v>
                </c:pt>
                <c:pt idx="111">
                  <c:v>-65.825739239582902</c:v>
                </c:pt>
                <c:pt idx="112">
                  <c:v>-56.478215723130084</c:v>
                </c:pt>
                <c:pt idx="113">
                  <c:v>-47.113193843362609</c:v>
                </c:pt>
                <c:pt idx="114">
                  <c:v>-40.680529171543199</c:v>
                </c:pt>
                <c:pt idx="115">
                  <c:v>-38.720813292290515</c:v>
                </c:pt>
                <c:pt idx="116">
                  <c:v>-41.020513516870892</c:v>
                </c:pt>
                <c:pt idx="117">
                  <c:v>-45.655384930341114</c:v>
                </c:pt>
                <c:pt idx="118">
                  <c:v>-49.419630229535606</c:v>
                </c:pt>
                <c:pt idx="119">
                  <c:v>-48.56271290408003</c:v>
                </c:pt>
                <c:pt idx="120">
                  <c:v>-39.693359486341009</c:v>
                </c:pt>
                <c:pt idx="121">
                  <c:v>-20.672996277834287</c:v>
                </c:pt>
                <c:pt idx="122">
                  <c:v>8.6838220512712212</c:v>
                </c:pt>
                <c:pt idx="123">
                  <c:v>46.254808618110332</c:v>
                </c:pt>
                <c:pt idx="124">
                  <c:v>87.69457300850658</c:v>
                </c:pt>
                <c:pt idx="125">
                  <c:v>126.97278476744368</c:v>
                </c:pt>
                <c:pt idx="126">
                  <c:v>157.29530925372106</c:v>
                </c:pt>
                <c:pt idx="127">
                  <c:v>172.26248472171943</c:v>
                </c:pt>
                <c:pt idx="128">
                  <c:v>167.06707071952758</c:v>
                </c:pt>
                <c:pt idx="129">
                  <c:v>139.51654184830755</c:v>
                </c:pt>
                <c:pt idx="130">
                  <c:v>90.684681593003319</c:v>
                </c:pt>
                <c:pt idx="131">
                  <c:v>25.053483442007057</c:v>
                </c:pt>
                <c:pt idx="132">
                  <c:v>-49.910631224099191</c:v>
                </c:pt>
                <c:pt idx="133">
                  <c:v>-124.70617682316356</c:v>
                </c:pt>
                <c:pt idx="134">
                  <c:v>-189.13881623571703</c:v>
                </c:pt>
                <c:pt idx="135">
                  <c:v>-233.85088915379157</c:v>
                </c:pt>
                <c:pt idx="136">
                  <c:v>-251.79304015773005</c:v>
                </c:pt>
                <c:pt idx="137">
                  <c:v>-239.39396150875808</c:v>
                </c:pt>
                <c:pt idx="138">
                  <c:v>-197.22722747402418</c:v>
                </c:pt>
                <c:pt idx="139">
                  <c:v>-130.05244656885233</c:v>
                </c:pt>
                <c:pt idx="140">
                  <c:v>-46.208784259273308</c:v>
                </c:pt>
                <c:pt idx="141">
                  <c:v>43.554555132201415</c:v>
                </c:pt>
                <c:pt idx="142">
                  <c:v>127.63219658830864</c:v>
                </c:pt>
                <c:pt idx="143">
                  <c:v>195.25672919184137</c:v>
                </c:pt>
                <c:pt idx="144">
                  <c:v>238.06388128065379</c:v>
                </c:pt>
                <c:pt idx="145">
                  <c:v>251.27934800792553</c:v>
                </c:pt>
                <c:pt idx="146">
                  <c:v>234.33971668909211</c:v>
                </c:pt>
                <c:pt idx="147">
                  <c:v>190.85349374847917</c:v>
                </c:pt>
                <c:pt idx="148">
                  <c:v>127.91768261046197</c:v>
                </c:pt>
                <c:pt idx="149">
                  <c:v>54.911999273425607</c:v>
                </c:pt>
                <c:pt idx="150">
                  <c:v>-18.021671242672056</c:v>
                </c:pt>
                <c:pt idx="151">
                  <c:v>-81.557305917468028</c:v>
                </c:pt>
                <c:pt idx="152">
                  <c:v>-128.55770963751746</c:v>
                </c:pt>
                <c:pt idx="153">
                  <c:v>-155.01978708094296</c:v>
                </c:pt>
                <c:pt idx="154">
                  <c:v>-160.44752764350483</c:v>
                </c:pt>
                <c:pt idx="155">
                  <c:v>-147.6104641529362</c:v>
                </c:pt>
                <c:pt idx="156">
                  <c:v>-121.75394095379696</c:v>
                </c:pt>
                <c:pt idx="157">
                  <c:v>-89.423103750130508</c:v>
                </c:pt>
                <c:pt idx="158">
                  <c:v>-57.128162277196154</c:v>
                </c:pt>
                <c:pt idx="159">
                  <c:v>-30.102538761122503</c:v>
                </c:pt>
                <c:pt idx="160">
                  <c:v>-11.383765380181458</c:v>
                </c:pt>
                <c:pt idx="161">
                  <c:v>-1.3834015900997372</c:v>
                </c:pt>
                <c:pt idx="162">
                  <c:v>1.9816770452043393</c:v>
                </c:pt>
                <c:pt idx="163">
                  <c:v>2.6314618503525509</c:v>
                </c:pt>
                <c:pt idx="164">
                  <c:v>5.2742136415035787</c:v>
                </c:pt>
                <c:pt idx="165">
                  <c:v>14.178865441175191</c:v>
                </c:pt>
                <c:pt idx="166">
                  <c:v>32.017130713648342</c:v>
                </c:pt>
                <c:pt idx="167">
                  <c:v>59.014566001546072</c:v>
                </c:pt>
                <c:pt idx="168">
                  <c:v>92.595085758913257</c:v>
                </c:pt>
                <c:pt idx="169">
                  <c:v>127.61274255417329</c:v>
                </c:pt>
                <c:pt idx="170">
                  <c:v>157.15402894765322</c:v>
                </c:pt>
                <c:pt idx="171">
                  <c:v>173.78349061421761</c:v>
                </c:pt>
                <c:pt idx="172">
                  <c:v>171.01538692396406</c:v>
                </c:pt>
                <c:pt idx="173">
                  <c:v>144.74152082331261</c:v>
                </c:pt>
                <c:pt idx="174">
                  <c:v>94.340787873341654</c:v>
                </c:pt>
                <c:pt idx="175">
                  <c:v>23.241621038872665</c:v>
                </c:pt>
                <c:pt idx="176">
                  <c:v>-61.202504903897406</c:v>
                </c:pt>
                <c:pt idx="177">
                  <c:v>-148.54678060144315</c:v>
                </c:pt>
                <c:pt idx="178">
                  <c:v>-226.69435314425684</c:v>
                </c:pt>
                <c:pt idx="179">
                  <c:v>-283.72554450456772</c:v>
                </c:pt>
                <c:pt idx="180">
                  <c:v>-309.82344201305341</c:v>
                </c:pt>
                <c:pt idx="181">
                  <c:v>-298.97322019802698</c:v>
                </c:pt>
                <c:pt idx="182">
                  <c:v>-250.13868835523812</c:v>
                </c:pt>
                <c:pt idx="183">
                  <c:v>-167.69775802110422</c:v>
                </c:pt>
                <c:pt idx="184">
                  <c:v>-61.036452814281994</c:v>
                </c:pt>
                <c:pt idx="185">
                  <c:v>56.66077263224615</c:v>
                </c:pt>
                <c:pt idx="186">
                  <c:v>170.25166968733816</c:v>
                </c:pt>
                <c:pt idx="187">
                  <c:v>264.82650679163009</c:v>
                </c:pt>
                <c:pt idx="188">
                  <c:v>327.90368887120042</c:v>
                </c:pt>
                <c:pt idx="189">
                  <c:v>351.28016236849209</c:v>
                </c:pt>
                <c:pt idx="190">
                  <c:v>332.2386470740089</c:v>
                </c:pt>
                <c:pt idx="191">
                  <c:v>273.91671929996039</c:v>
                </c:pt>
                <c:pt idx="192">
                  <c:v>184.77910932335021</c:v>
                </c:pt>
                <c:pt idx="193">
                  <c:v>77.281318436755654</c:v>
                </c:pt>
                <c:pt idx="194">
                  <c:v>-34.055098910706327</c:v>
                </c:pt>
                <c:pt idx="195">
                  <c:v>-134.84005897816868</c:v>
                </c:pt>
                <c:pt idx="196">
                  <c:v>-212.92789438575451</c:v>
                </c:pt>
                <c:pt idx="197">
                  <c:v>-260.10693561595542</c:v>
                </c:pt>
                <c:pt idx="198">
                  <c:v>-273.10269018729059</c:v>
                </c:pt>
                <c:pt idx="199">
                  <c:v>-253.75127757166359</c:v>
                </c:pt>
                <c:pt idx="200">
                  <c:v>-208.34259337902654</c:v>
                </c:pt>
                <c:pt idx="201">
                  <c:v>-146.27377115906938</c:v>
                </c:pt>
                <c:pt idx="202">
                  <c:v>-78.268373377278991</c:v>
                </c:pt>
                <c:pt idx="203">
                  <c:v>-14.485494181696737</c:v>
                </c:pt>
                <c:pt idx="204">
                  <c:v>37.146149089486585</c:v>
                </c:pt>
                <c:pt idx="205">
                  <c:v>72.08254373655717</c:v>
                </c:pt>
                <c:pt idx="206">
                  <c:v>89.619412637305118</c:v>
                </c:pt>
                <c:pt idx="207">
                  <c:v>92.59156781890303</c:v>
                </c:pt>
                <c:pt idx="208">
                  <c:v>86.400291349393484</c:v>
                </c:pt>
                <c:pt idx="209">
                  <c:v>77.57599633893399</c:v>
                </c:pt>
                <c:pt idx="210">
                  <c:v>72.168076909310514</c:v>
                </c:pt>
                <c:pt idx="211">
                  <c:v>74.284208522163851</c:v>
                </c:pt>
                <c:pt idx="212">
                  <c:v>85.071740671440779</c:v>
                </c:pt>
                <c:pt idx="213">
                  <c:v>102.34938719093221</c:v>
                </c:pt>
                <c:pt idx="214">
                  <c:v>120.97329649449253</c:v>
                </c:pt>
                <c:pt idx="215">
                  <c:v>133.8802447000555</c:v>
                </c:pt>
                <c:pt idx="216">
                  <c:v>133.61797125787118</c:v>
                </c:pt>
                <c:pt idx="217">
                  <c:v>114.07314722132431</c:v>
                </c:pt>
                <c:pt idx="218">
                  <c:v>72.060011904312901</c:v>
                </c:pt>
                <c:pt idx="219">
                  <c:v>8.4470465193597022</c:v>
                </c:pt>
                <c:pt idx="220">
                  <c:v>-71.426156838188888</c:v>
                </c:pt>
                <c:pt idx="221">
                  <c:v>-158.16672084992049</c:v>
                </c:pt>
                <c:pt idx="222">
                  <c:v>-239.55600155252907</c:v>
                </c:pt>
                <c:pt idx="223">
                  <c:v>-302.41145577489738</c:v>
                </c:pt>
                <c:pt idx="224">
                  <c:v>-334.78382803586277</c:v>
                </c:pt>
                <c:pt idx="225">
                  <c:v>-328.11649875987547</c:v>
                </c:pt>
                <c:pt idx="226">
                  <c:v>-278.98380665816074</c:v>
                </c:pt>
                <c:pt idx="227">
                  <c:v>-190.08268909103893</c:v>
                </c:pt>
                <c:pt idx="228">
                  <c:v>-70.268649247258409</c:v>
                </c:pt>
                <c:pt idx="229">
                  <c:v>66.416167327940229</c:v>
                </c:pt>
                <c:pt idx="230">
                  <c:v>202.60457074286651</c:v>
                </c:pt>
                <c:pt idx="231">
                  <c:v>320.08263315944964</c:v>
                </c:pt>
                <c:pt idx="232">
                  <c:v>402.49980886742117</c:v>
                </c:pt>
                <c:pt idx="233">
                  <c:v>437.87701787201081</c:v>
                </c:pt>
                <c:pt idx="234">
                  <c:v>420.50240880263971</c:v>
                </c:pt>
                <c:pt idx="235">
                  <c:v>351.8977442507711</c:v>
                </c:pt>
                <c:pt idx="236">
                  <c:v>240.68631538227839</c:v>
                </c:pt>
                <c:pt idx="237">
                  <c:v>101.37145745310133</c:v>
                </c:pt>
                <c:pt idx="238">
                  <c:v>-47.786886037052589</c:v>
                </c:pt>
                <c:pt idx="239">
                  <c:v>-187.46181298890775</c:v>
                </c:pt>
                <c:pt idx="240">
                  <c:v>-300.0867454586222</c:v>
                </c:pt>
                <c:pt idx="241">
                  <c:v>-372.3703646961502</c:v>
                </c:pt>
                <c:pt idx="242">
                  <c:v>-397.10306433944049</c:v>
                </c:pt>
                <c:pt idx="243">
                  <c:v>-373.97876939500441</c:v>
                </c:pt>
                <c:pt idx="244">
                  <c:v>-309.32158070912004</c:v>
                </c:pt>
                <c:pt idx="245">
                  <c:v>-214.7895657556943</c:v>
                </c:pt>
                <c:pt idx="246">
                  <c:v>-105.29677542663069</c:v>
                </c:pt>
                <c:pt idx="247">
                  <c:v>3.4796533137683525</c:v>
                </c:pt>
                <c:pt idx="248">
                  <c:v>97.579017146082919</c:v>
                </c:pt>
                <c:pt idx="249">
                  <c:v>166.80794142231596</c:v>
                </c:pt>
                <c:pt idx="250">
                  <c:v>206.03203643511387</c:v>
                </c:pt>
                <c:pt idx="251">
                  <c:v>215.51852145347215</c:v>
                </c:pt>
                <c:pt idx="252">
                  <c:v>200.31182307409699</c:v>
                </c:pt>
                <c:pt idx="253">
                  <c:v>168.7963567942964</c:v>
                </c:pt>
                <c:pt idx="254">
                  <c:v>130.74275618772856</c:v>
                </c:pt>
                <c:pt idx="255">
                  <c:v>95.220607927504119</c:v>
                </c:pt>
                <c:pt idx="256">
                  <c:v>68.777063755535607</c:v>
                </c:pt>
                <c:pt idx="257">
                  <c:v>54.223929697739038</c:v>
                </c:pt>
                <c:pt idx="258">
                  <c:v>50.256483853835007</c:v>
                </c:pt>
                <c:pt idx="259">
                  <c:v>51.967123068875459</c:v>
                </c:pt>
                <c:pt idx="260">
                  <c:v>52.145179192693547</c:v>
                </c:pt>
                <c:pt idx="261">
                  <c:v>43.102291498690221</c:v>
                </c:pt>
                <c:pt idx="262">
                  <c:v>18.658582593987887</c:v>
                </c:pt>
                <c:pt idx="263">
                  <c:v>-24.111890475354301</c:v>
                </c:pt>
                <c:pt idx="264">
                  <c:v>-83.739845356853181</c:v>
                </c:pt>
                <c:pt idx="265">
                  <c:v>-154.08011753541444</c:v>
                </c:pt>
                <c:pt idx="266">
                  <c:v>-224.99084555202518</c:v>
                </c:pt>
                <c:pt idx="267">
                  <c:v>-283.89207243825945</c:v>
                </c:pt>
                <c:pt idx="268">
                  <c:v>-317.95374114541937</c:v>
                </c:pt>
                <c:pt idx="269">
                  <c:v>-316.53462534810694</c:v>
                </c:pt>
                <c:pt idx="270">
                  <c:v>-273.43070823961108</c:v>
                </c:pt>
                <c:pt idx="271">
                  <c:v>-188.50683932994934</c:v>
                </c:pt>
                <c:pt idx="272">
                  <c:v>-68.378314271717599</c:v>
                </c:pt>
                <c:pt idx="273">
                  <c:v>74.035360632488207</c:v>
                </c:pt>
                <c:pt idx="274">
                  <c:v>221.06998802681306</c:v>
                </c:pt>
                <c:pt idx="275">
                  <c:v>352.77917693797519</c:v>
                </c:pt>
                <c:pt idx="276">
                  <c:v>449.92462832257519</c:v>
                </c:pt>
                <c:pt idx="277">
                  <c:v>497.01462980101701</c:v>
                </c:pt>
                <c:pt idx="278">
                  <c:v>484.88681737252261</c:v>
                </c:pt>
                <c:pt idx="279">
                  <c:v>412.39281355093306</c:v>
                </c:pt>
                <c:pt idx="280">
                  <c:v>286.88084420808354</c:v>
                </c:pt>
                <c:pt idx="281">
                  <c:v>123.36540437561328</c:v>
                </c:pt>
                <c:pt idx="282">
                  <c:v>-57.511725526965989</c:v>
                </c:pt>
                <c:pt idx="283">
                  <c:v>-232.42378561027743</c:v>
                </c:pt>
                <c:pt idx="284">
                  <c:v>-378.7469550812782</c:v>
                </c:pt>
                <c:pt idx="285">
                  <c:v>-477.85885370869994</c:v>
                </c:pt>
                <c:pt idx="286">
                  <c:v>-517.8240902322342</c:v>
                </c:pt>
                <c:pt idx="287">
                  <c:v>-495.04223937798798</c:v>
                </c:pt>
                <c:pt idx="288">
                  <c:v>-414.60357803438023</c:v>
                </c:pt>
                <c:pt idx="289">
                  <c:v>-289.31024677131597</c:v>
                </c:pt>
                <c:pt idx="290">
                  <c:v>-137.53922543759603</c:v>
                </c:pt>
                <c:pt idx="291">
                  <c:v>19.688533688116763</c:v>
                </c:pt>
                <c:pt idx="292">
                  <c:v>161.94316654147048</c:v>
                </c:pt>
                <c:pt idx="293">
                  <c:v>272.39392279539481</c:v>
                </c:pt>
                <c:pt idx="294">
                  <c:v>340.1076732597457</c:v>
                </c:pt>
                <c:pt idx="295">
                  <c:v>361.28546262622211</c:v>
                </c:pt>
                <c:pt idx="296">
                  <c:v>339.27293874226336</c:v>
                </c:pt>
                <c:pt idx="297">
                  <c:v>283.39387855572863</c:v>
                </c:pt>
                <c:pt idx="298">
                  <c:v>206.85721387122399</c:v>
                </c:pt>
                <c:pt idx="299">
                  <c:v>124.14192507070899</c:v>
                </c:pt>
                <c:pt idx="300">
                  <c:v>48.344364870399716</c:v>
                </c:pt>
                <c:pt idx="301">
                  <c:v>-11.034434132581623</c:v>
                </c:pt>
                <c:pt idx="302">
                  <c:v>-49.476077565404964</c:v>
                </c:pt>
                <c:pt idx="303">
                  <c:v>-67.78152729579628</c:v>
                </c:pt>
                <c:pt idx="304">
                  <c:v>-71.330945747780547</c:v>
                </c:pt>
                <c:pt idx="305">
                  <c:v>-68.442045068126632</c:v>
                </c:pt>
                <c:pt idx="306">
                  <c:v>-68.170132967025467</c:v>
                </c:pt>
                <c:pt idx="307">
                  <c:v>-77.996552988928357</c:v>
                </c:pt>
                <c:pt idx="308">
                  <c:v>-101.87248455827876</c:v>
                </c:pt>
                <c:pt idx="309">
                  <c:v>-139.01814034664088</c:v>
                </c:pt>
                <c:pt idx="310">
                  <c:v>-183.73507713111258</c:v>
                </c:pt>
                <c:pt idx="311">
                  <c:v>-226.2971602640163</c:v>
                </c:pt>
                <c:pt idx="312">
                  <c:v>-254.77848018695215</c:v>
                </c:pt>
                <c:pt idx="313">
                  <c:v>-257.49207978984487</c:v>
                </c:pt>
                <c:pt idx="314">
                  <c:v>-225.58588896311232</c:v>
                </c:pt>
                <c:pt idx="315">
                  <c:v>-155.29608795500383</c:v>
                </c:pt>
                <c:pt idx="316">
                  <c:v>-49.40320910331053</c:v>
                </c:pt>
                <c:pt idx="317">
                  <c:v>82.433684303046618</c:v>
                </c:pt>
                <c:pt idx="318">
                  <c:v>224.59613054603091</c:v>
                </c:pt>
                <c:pt idx="319">
                  <c:v>357.58699427756807</c:v>
                </c:pt>
                <c:pt idx="320">
                  <c:v>460.96745432300781</c:v>
                </c:pt>
                <c:pt idx="321">
                  <c:v>516.67916298566013</c:v>
                </c:pt>
                <c:pt idx="322">
                  <c:v>512.19312614904379</c:v>
                </c:pt>
                <c:pt idx="323">
                  <c:v>442.93514037717199</c:v>
                </c:pt>
                <c:pt idx="324">
                  <c:v>313.54225435179183</c:v>
                </c:pt>
                <c:pt idx="325">
                  <c:v>137.68949435367546</c:v>
                </c:pt>
                <c:pt idx="326">
                  <c:v>-63.539485005980495</c:v>
                </c:pt>
                <c:pt idx="327">
                  <c:v>-264.51972401450826</c:v>
                </c:pt>
                <c:pt idx="328">
                  <c:v>-438.75965855663219</c:v>
                </c:pt>
                <c:pt idx="329">
                  <c:v>-562.80905593729062</c:v>
                </c:pt>
                <c:pt idx="330">
                  <c:v>-619.77700436868986</c:v>
                </c:pt>
                <c:pt idx="331">
                  <c:v>-601.89179451942005</c:v>
                </c:pt>
                <c:pt idx="332">
                  <c:v>-511.6853524132639</c:v>
                </c:pt>
                <c:pt idx="333">
                  <c:v>-361.60671804096194</c:v>
                </c:pt>
                <c:pt idx="334">
                  <c:v>-172.12476395284904</c:v>
                </c:pt>
                <c:pt idx="335">
                  <c:v>31.373255637014609</c:v>
                </c:pt>
                <c:pt idx="336">
                  <c:v>222.38540289527128</c:v>
                </c:pt>
                <c:pt idx="337">
                  <c:v>377.18794459287426</c:v>
                </c:pt>
                <c:pt idx="338">
                  <c:v>478.19618745753007</c:v>
                </c:pt>
                <c:pt idx="339">
                  <c:v>516.26787466309611</c:v>
                </c:pt>
                <c:pt idx="340">
                  <c:v>491.60687993052147</c:v>
                </c:pt>
                <c:pt idx="341">
                  <c:v>413.16356699360517</c:v>
                </c:pt>
                <c:pt idx="342">
                  <c:v>296.68109425883188</c:v>
                </c:pt>
                <c:pt idx="343">
                  <c:v>161.76060452215847</c:v>
                </c:pt>
                <c:pt idx="344">
                  <c:v>28.474386475841129</c:v>
                </c:pt>
                <c:pt idx="345">
                  <c:v>-85.881599994218789</c:v>
                </c:pt>
                <c:pt idx="346">
                  <c:v>-169.34579884161167</c:v>
                </c:pt>
                <c:pt idx="347">
                  <c:v>-216.74634215674294</c:v>
                </c:pt>
                <c:pt idx="348">
                  <c:v>-229.847030888235</c:v>
                </c:pt>
                <c:pt idx="349">
                  <c:v>-216.21731743591906</c:v>
                </c:pt>
                <c:pt idx="350">
                  <c:v>-187.08942521484326</c:v>
                </c:pt>
                <c:pt idx="351">
                  <c:v>-154.64461909361088</c:v>
                </c:pt>
                <c:pt idx="352">
                  <c:v>-129.26683463531083</c:v>
                </c:pt>
                <c:pt idx="353">
                  <c:v>-117.2985155595498</c:v>
                </c:pt>
                <c:pt idx="354">
                  <c:v>-119.73160824891411</c:v>
                </c:pt>
                <c:pt idx="355">
                  <c:v>-132.08495232010281</c:v>
                </c:pt>
                <c:pt idx="356">
                  <c:v>-145.49093479506075</c:v>
                </c:pt>
                <c:pt idx="357">
                  <c:v>-148.78091808564034</c:v>
                </c:pt>
                <c:pt idx="358">
                  <c:v>-131.16338071220477</c:v>
                </c:pt>
                <c:pt idx="359">
                  <c:v>-84.967125608453046</c:v>
                </c:pt>
                <c:pt idx="360">
                  <c:v>-7.8974037724741493</c:v>
                </c:pt>
                <c:pt idx="361">
                  <c:v>95.668896887351252</c:v>
                </c:pt>
                <c:pt idx="362">
                  <c:v>214.65454362714536</c:v>
                </c:pt>
                <c:pt idx="363">
                  <c:v>332.59620463396385</c:v>
                </c:pt>
                <c:pt idx="364">
                  <c:v>430.12887704195896</c:v>
                </c:pt>
                <c:pt idx="365">
                  <c:v>488.24314414957644</c:v>
                </c:pt>
                <c:pt idx="366">
                  <c:v>491.75910372892088</c:v>
                </c:pt>
                <c:pt idx="367">
                  <c:v>432.39779943534575</c:v>
                </c:pt>
                <c:pt idx="368">
                  <c:v>310.87721013093238</c:v>
                </c:pt>
                <c:pt idx="369">
                  <c:v>137.6095556507575</c:v>
                </c:pt>
                <c:pt idx="370">
                  <c:v>-68.194321872619668</c:v>
                </c:pt>
                <c:pt idx="371">
                  <c:v>-280.93804080778062</c:v>
                </c:pt>
                <c:pt idx="372">
                  <c:v>-472.23076842527166</c:v>
                </c:pt>
                <c:pt idx="373">
                  <c:v>-615.10472151698173</c:v>
                </c:pt>
                <c:pt idx="374">
                  <c:v>-688.18503755433926</c:v>
                </c:pt>
                <c:pt idx="375">
                  <c:v>-679.12798342138763</c:v>
                </c:pt>
                <c:pt idx="376">
                  <c:v>-586.74950491307789</c:v>
                </c:pt>
                <c:pt idx="377">
                  <c:v>-421.47172377474476</c:v>
                </c:pt>
                <c:pt idx="378">
                  <c:v>-203.98632812585311</c:v>
                </c:pt>
                <c:pt idx="379">
                  <c:v>37.674618183830184</c:v>
                </c:pt>
                <c:pt idx="380">
                  <c:v>272.20747522671559</c:v>
                </c:pt>
                <c:pt idx="381">
                  <c:v>469.60388968913446</c:v>
                </c:pt>
                <c:pt idx="382">
                  <c:v>605.49181663791796</c:v>
                </c:pt>
                <c:pt idx="383">
                  <c:v>664.56494996199717</c:v>
                </c:pt>
                <c:pt idx="384">
                  <c:v>642.56717936134567</c:v>
                </c:pt>
                <c:pt idx="385">
                  <c:v>546.53940579246489</c:v>
                </c:pt>
                <c:pt idx="386">
                  <c:v>393.32408892872729</c:v>
                </c:pt>
                <c:pt idx="387">
                  <c:v>206.6091690354275</c:v>
                </c:pt>
                <c:pt idx="388">
                  <c:v>13.02880610874243</c:v>
                </c:pt>
                <c:pt idx="389">
                  <c:v>-162.0161491896865</c:v>
                </c:pt>
                <c:pt idx="390">
                  <c:v>-298.12401897081111</c:v>
                </c:pt>
                <c:pt idx="391">
                  <c:v>-382.63821843341395</c:v>
                </c:pt>
                <c:pt idx="392">
                  <c:v>-411.95691798822008</c:v>
                </c:pt>
                <c:pt idx="393">
                  <c:v>-391.24834386790349</c:v>
                </c:pt>
                <c:pt idx="394">
                  <c:v>-332.6943307635986</c:v>
                </c:pt>
                <c:pt idx="395">
                  <c:v>-252.63857625678</c:v>
                </c:pt>
                <c:pt idx="396">
                  <c:v>-168.19865691482511</c:v>
                </c:pt>
                <c:pt idx="397">
                  <c:v>-93.980736996332155</c:v>
                </c:pt>
                <c:pt idx="398">
                  <c:v>-39.499882555546151</c:v>
                </c:pt>
                <c:pt idx="399">
                  <c:v>-7.7644886104377235</c:v>
                </c:pt>
                <c:pt idx="400">
                  <c:v>4.7426704870219112</c:v>
                </c:pt>
                <c:pt idx="401">
                  <c:v>6.7205377646087605</c:v>
                </c:pt>
                <c:pt idx="402">
                  <c:v>9.6348845315457368</c:v>
                </c:pt>
                <c:pt idx="403">
                  <c:v>24.727235635824798</c:v>
                </c:pt>
                <c:pt idx="404">
                  <c:v>60.053086563050442</c:v>
                </c:pt>
                <c:pt idx="405">
                  <c:v>118.15277758136892</c:v>
                </c:pt>
                <c:pt idx="406">
                  <c:v>194.84326048726837</c:v>
                </c:pt>
                <c:pt idx="407">
                  <c:v>279.41107213147711</c:v>
                </c:pt>
                <c:pt idx="408">
                  <c:v>356.223296959403</c:v>
                </c:pt>
                <c:pt idx="409">
                  <c:v>407.50175229071067</c:v>
                </c:pt>
                <c:pt idx="410">
                  <c:v>416.77562724387099</c:v>
                </c:pt>
                <c:pt idx="411">
                  <c:v>372.38201934755034</c:v>
                </c:pt>
                <c:pt idx="412">
                  <c:v>270.35031346489922</c:v>
                </c:pt>
                <c:pt idx="413">
                  <c:v>116.09343036577437</c:v>
                </c:pt>
                <c:pt idx="414">
                  <c:v>-75.476556950615247</c:v>
                </c:pt>
                <c:pt idx="415">
                  <c:v>-281.52167962914092</c:v>
                </c:pt>
                <c:pt idx="416">
                  <c:v>-474.35584543208614</c:v>
                </c:pt>
                <c:pt idx="417">
                  <c:v>-625.56909571792653</c:v>
                </c:pt>
                <c:pt idx="418">
                  <c:v>-710.53945817459771</c:v>
                </c:pt>
                <c:pt idx="419">
                  <c:v>-712.58233402338078</c:v>
                </c:pt>
                <c:pt idx="420">
                  <c:v>-626.02406919845794</c:v>
                </c:pt>
                <c:pt idx="421">
                  <c:v>-457.64705818287962</c:v>
                </c:pt>
                <c:pt idx="422">
                  <c:v>-226.21284526565142</c:v>
                </c:pt>
                <c:pt idx="423">
                  <c:v>39.915808794447685</c:v>
                </c:pt>
                <c:pt idx="424">
                  <c:v>306.71621405779376</c:v>
                </c:pt>
                <c:pt idx="425">
                  <c:v>539.40796946045043</c:v>
                </c:pt>
                <c:pt idx="426">
                  <c:v>707.54670210511199</c:v>
                </c:pt>
                <c:pt idx="427">
                  <c:v>789.50007653906823</c:v>
                </c:pt>
                <c:pt idx="428">
                  <c:v>775.59191017472813</c:v>
                </c:pt>
                <c:pt idx="429">
                  <c:v>669.41494497552048</c:v>
                </c:pt>
                <c:pt idx="430">
                  <c:v>487.11129580743329</c:v>
                </c:pt>
                <c:pt idx="431">
                  <c:v>254.75148706945922</c:v>
                </c:pt>
                <c:pt idx="432">
                  <c:v>4.2521392230428887</c:v>
                </c:pt>
                <c:pt idx="433">
                  <c:v>-231.49353440260788</c:v>
                </c:pt>
                <c:pt idx="434">
                  <c:v>-423.47863433693487</c:v>
                </c:pt>
                <c:pt idx="435">
                  <c:v>-550.65966290499534</c:v>
                </c:pt>
                <c:pt idx="436">
                  <c:v>-602.61393381582775</c:v>
                </c:pt>
                <c:pt idx="437">
                  <c:v>-580.3937196471727</c:v>
                </c:pt>
                <c:pt idx="438">
                  <c:v>-495.50488938951838</c:v>
                </c:pt>
                <c:pt idx="439">
                  <c:v>-367.2560226555338</c:v>
                </c:pt>
                <c:pt idx="440">
                  <c:v>-218.99410367613595</c:v>
                </c:pt>
                <c:pt idx="441">
                  <c:v>-73.918622124942715</c:v>
                </c:pt>
                <c:pt idx="442">
                  <c:v>48.78223522792905</c:v>
                </c:pt>
                <c:pt idx="443">
                  <c:v>136.80919611668332</c:v>
                </c:pt>
                <c:pt idx="444">
                  <c:v>186.1746318769242</c:v>
                </c:pt>
                <c:pt idx="445">
                  <c:v>200.97704649238597</c:v>
                </c:pt>
                <c:pt idx="446">
                  <c:v>191.63933137351961</c:v>
                </c:pt>
                <c:pt idx="447">
                  <c:v>172.00323818849009</c:v>
                </c:pt>
                <c:pt idx="448">
                  <c:v>155.87777893451141</c:v>
                </c:pt>
                <c:pt idx="449">
                  <c:v>153.73266993365263</c:v>
                </c:pt>
                <c:pt idx="450">
                  <c:v>170.19297730141176</c:v>
                </c:pt>
                <c:pt idx="451">
                  <c:v>202.83438422461376</c:v>
                </c:pt>
                <c:pt idx="452">
                  <c:v>242.52854224109527</c:v>
                </c:pt>
                <c:pt idx="453">
                  <c:v>275.29026580112065</c:v>
                </c:pt>
                <c:pt idx="454">
                  <c:v>285.2871957735</c:v>
                </c:pt>
                <c:pt idx="455">
                  <c:v>258.44145324021747</c:v>
                </c:pt>
                <c:pt idx="456">
                  <c:v>185.92474512766938</c:v>
                </c:pt>
                <c:pt idx="457">
                  <c:v>66.848151384625908</c:v>
                </c:pt>
                <c:pt idx="458">
                  <c:v>-90.422620027711616</c:v>
                </c:pt>
                <c:pt idx="459">
                  <c:v>-268.65780275059808</c:v>
                </c:pt>
                <c:pt idx="460">
                  <c:v>-443.88618491563534</c:v>
                </c:pt>
                <c:pt idx="461">
                  <c:v>-588.95761492350096</c:v>
                </c:pt>
                <c:pt idx="462">
                  <c:v>-677.97863386046015</c:v>
                </c:pt>
                <c:pt idx="463">
                  <c:v>-690.87373751701489</c:v>
                </c:pt>
                <c:pt idx="464">
                  <c:v>-617.27216003112699</c:v>
                </c:pt>
                <c:pt idx="465">
                  <c:v>-459.00765950786342</c:v>
                </c:pt>
                <c:pt idx="466">
                  <c:v>-230.73408823448716</c:v>
                </c:pt>
                <c:pt idx="467">
                  <c:v>41.532608414247903</c:v>
                </c:pt>
                <c:pt idx="468">
                  <c:v>323.78682189265334</c:v>
                </c:pt>
                <c:pt idx="469">
                  <c:v>578.83164810694302</c:v>
                </c:pt>
                <c:pt idx="470">
                  <c:v>771.76178871601905</c:v>
                </c:pt>
                <c:pt idx="471">
                  <c:v>875.25786948081645</c:v>
                </c:pt>
                <c:pt idx="472">
                  <c:v>873.83287171839095</c:v>
                </c:pt>
                <c:pt idx="473">
                  <c:v>766.33018076875044</c:v>
                </c:pt>
                <c:pt idx="474">
                  <c:v>566.25105584629478</c:v>
                </c:pt>
                <c:pt idx="475">
                  <c:v>299.8408720626586</c:v>
                </c:pt>
                <c:pt idx="476">
                  <c:v>2.2291484108922219</c:v>
                </c:pt>
                <c:pt idx="477">
                  <c:v>-287.76371408604348</c:v>
                </c:pt>
                <c:pt idx="478">
                  <c:v>-533.32384367256043</c:v>
                </c:pt>
                <c:pt idx="479">
                  <c:v>-704.93847507890769</c:v>
                </c:pt>
                <c:pt idx="480">
                  <c:v>-784.4542834265892</c:v>
                </c:pt>
                <c:pt idx="481">
                  <c:v>-767.27817921955773</c:v>
                </c:pt>
                <c:pt idx="482">
                  <c:v>-662.4133273495712</c:v>
                </c:pt>
                <c:pt idx="483">
                  <c:v>-490.38517241838821</c:v>
                </c:pt>
                <c:pt idx="484">
                  <c:v>-279.46021205196297</c:v>
                </c:pt>
                <c:pt idx="485">
                  <c:v>-60.83485413222337</c:v>
                </c:pt>
                <c:pt idx="486">
                  <c:v>136.37338899846927</c:v>
                </c:pt>
                <c:pt idx="487">
                  <c:v>289.4901883931476</c:v>
                </c:pt>
                <c:pt idx="488">
                  <c:v>385.29702610365285</c:v>
                </c:pt>
                <c:pt idx="489">
                  <c:v>421.2397655351341</c:v>
                </c:pt>
                <c:pt idx="490">
                  <c:v>404.70923678245691</c:v>
                </c:pt>
                <c:pt idx="491">
                  <c:v>350.61353772464906</c:v>
                </c:pt>
                <c:pt idx="492">
                  <c:v>277.75973237837718</c:v>
                </c:pt>
                <c:pt idx="493">
                  <c:v>204.76263214383323</c:v>
                </c:pt>
                <c:pt idx="494">
                  <c:v>146.2657385245181</c:v>
                </c:pt>
                <c:pt idx="495">
                  <c:v>110.1833530671156</c:v>
                </c:pt>
                <c:pt idx="496">
                  <c:v>96.468126257263037</c:v>
                </c:pt>
                <c:pt idx="497">
                  <c:v>97.612721218622568</c:v>
                </c:pt>
                <c:pt idx="498">
                  <c:v>100.7618596452788</c:v>
                </c:pt>
                <c:pt idx="499">
                  <c:v>91.002456227321801</c:v>
                </c:pt>
                <c:pt idx="500">
                  <c:v>55.1712692641525</c:v>
                </c:pt>
                <c:pt idx="501">
                  <c:v>-14.586403533787518</c:v>
                </c:pt>
                <c:pt idx="502">
                  <c:v>-118.2368116855759</c:v>
                </c:pt>
                <c:pt idx="503">
                  <c:v>-246.8127590440962</c:v>
                </c:pt>
                <c:pt idx="504">
                  <c:v>-383.17925849154904</c:v>
                </c:pt>
                <c:pt idx="505">
                  <c:v>-504.54832688520054</c:v>
                </c:pt>
                <c:pt idx="506">
                  <c:v>-586.34804954247932</c:v>
                </c:pt>
                <c:pt idx="507">
                  <c:v>-606.7822829047559</c:v>
                </c:pt>
                <c:pt idx="508">
                  <c:v>-551.26312487922382</c:v>
                </c:pt>
                <c:pt idx="509">
                  <c:v>-415.88865232911161</c:v>
                </c:pt>
                <c:pt idx="510">
                  <c:v>-209.27808291537758</c:v>
                </c:pt>
                <c:pt idx="511">
                  <c:v>47.656391838085767</c:v>
                </c:pt>
                <c:pt idx="512">
                  <c:v>324.0721649062973</c:v>
                </c:pt>
                <c:pt idx="513">
                  <c:v>583.39208956766674</c:v>
                </c:pt>
                <c:pt idx="514">
                  <c:v>788.70306675403378</c:v>
                </c:pt>
                <c:pt idx="515">
                  <c:v>908.49836960032394</c:v>
                </c:pt>
                <c:pt idx="516">
                  <c:v>921.81923847321173</c:v>
                </c:pt>
                <c:pt idx="517">
                  <c:v>821.92603698157029</c:v>
                </c:pt>
                <c:pt idx="518">
                  <c:v>617.85400474290498</c:v>
                </c:pt>
                <c:pt idx="519">
                  <c:v>333.54698818020523</c:v>
                </c:pt>
                <c:pt idx="520">
                  <c:v>4.6580449439324054</c:v>
                </c:pt>
                <c:pt idx="521">
                  <c:v>-326.50835145536382</c:v>
                </c:pt>
                <c:pt idx="522">
                  <c:v>-617.12740172146891</c:v>
                </c:pt>
                <c:pt idx="523">
                  <c:v>-830.09163334119148</c:v>
                </c:pt>
                <c:pt idx="524">
                  <c:v>-939.36705228560413</c:v>
                </c:pt>
                <c:pt idx="525">
                  <c:v>-933.62293366527615</c:v>
                </c:pt>
                <c:pt idx="526">
                  <c:v>-817.57422428619282</c:v>
                </c:pt>
                <c:pt idx="527">
                  <c:v>-610.85198884939985</c:v>
                </c:pt>
                <c:pt idx="528">
                  <c:v>-344.62254621423358</c:v>
                </c:pt>
                <c:pt idx="529">
                  <c:v>-56.541181147017426</c:v>
                </c:pt>
                <c:pt idx="530">
                  <c:v>215.11014989802723</c:v>
                </c:pt>
                <c:pt idx="531">
                  <c:v>437.13394472465819</c:v>
                </c:pt>
                <c:pt idx="532">
                  <c:v>586.0567813711134</c:v>
                </c:pt>
                <c:pt idx="533">
                  <c:v>650.97892382161342</c:v>
                </c:pt>
                <c:pt idx="534">
                  <c:v>634.23584287325093</c:v>
                </c:pt>
                <c:pt idx="535">
                  <c:v>549.85607335601742</c:v>
                </c:pt>
                <c:pt idx="536">
                  <c:v>420.17737807322362</c:v>
                </c:pt>
                <c:pt idx="537">
                  <c:v>271.29021281322474</c:v>
                </c:pt>
                <c:pt idx="538">
                  <c:v>128.16124375735296</c:v>
                </c:pt>
                <c:pt idx="539">
                  <c:v>10.319458898558821</c:v>
                </c:pt>
                <c:pt idx="540">
                  <c:v>-71.140111240419401</c:v>
                </c:pt>
                <c:pt idx="541">
                  <c:v>-114.74040489015218</c:v>
                </c:pt>
                <c:pt idx="542">
                  <c:v>-127.84469889194676</c:v>
                </c:pt>
                <c:pt idx="543">
                  <c:v>-124.13541238612514</c:v>
                </c:pt>
                <c:pt idx="544">
                  <c:v>-119.89057885646247</c:v>
                </c:pt>
                <c:pt idx="545">
                  <c:v>-129.81978008929883</c:v>
                </c:pt>
                <c:pt idx="546">
                  <c:v>-163.29951820626303</c:v>
                </c:pt>
                <c:pt idx="547">
                  <c:v>-221.76968072883597</c:v>
                </c:pt>
                <c:pt idx="548">
                  <c:v>-297.83201870741829</c:v>
                </c:pt>
                <c:pt idx="549">
                  <c:v>-376.26827216351114</c:v>
                </c:pt>
                <c:pt idx="550">
                  <c:v>-436.82833513671181</c:v>
                </c:pt>
                <c:pt idx="551">
                  <c:v>-458.29457483555075</c:v>
                </c:pt>
                <c:pt idx="552">
                  <c:v>-423.07041138157371</c:v>
                </c:pt>
                <c:pt idx="553">
                  <c:v>-321.41785291770429</c:v>
                </c:pt>
                <c:pt idx="554">
                  <c:v>-154.50444240373912</c:v>
                </c:pt>
                <c:pt idx="555">
                  <c:v>64.38877236144009</c:v>
                </c:pt>
                <c:pt idx="556">
                  <c:v>310.83182326649421</c:v>
                </c:pt>
                <c:pt idx="557">
                  <c:v>552.33240425624626</c:v>
                </c:pt>
                <c:pt idx="558">
                  <c:v>753.10794473334863</c:v>
                </c:pt>
                <c:pt idx="559">
                  <c:v>879.78775311836193</c:v>
                </c:pt>
                <c:pt idx="560">
                  <c:v>907.09594950276323</c:v>
                </c:pt>
                <c:pt idx="561">
                  <c:v>822.53390776052288</c:v>
                </c:pt>
                <c:pt idx="562">
                  <c:v>629.21965442438261</c:v>
                </c:pt>
                <c:pt idx="563">
                  <c:v>346.33016488100628</c:v>
                </c:pt>
                <c:pt idx="564">
                  <c:v>6.9833161098451626</c:v>
                </c:pt>
                <c:pt idx="565">
                  <c:v>-346.17651010494995</c:v>
                </c:pt>
                <c:pt idx="566">
                  <c:v>-667.03459388846557</c:v>
                </c:pt>
                <c:pt idx="567">
                  <c:v>-912.76286494955946</c:v>
                </c:pt>
                <c:pt idx="568">
                  <c:v>-1050.204889613341</c:v>
                </c:pt>
                <c:pt idx="569">
                  <c:v>-1060.8627943172335</c:v>
                </c:pt>
                <c:pt idx="570">
                  <c:v>-943.67907639885414</c:v>
                </c:pt>
                <c:pt idx="571">
                  <c:v>-715.16154843095626</c:v>
                </c:pt>
                <c:pt idx="572">
                  <c:v>-406.83172841532206</c:v>
                </c:pt>
                <c:pt idx="573">
                  <c:v>-60.412946934128883</c:v>
                </c:pt>
                <c:pt idx="574">
                  <c:v>278.4594239717884</c:v>
                </c:pt>
                <c:pt idx="575">
                  <c:v>566.98875532230431</c:v>
                </c:pt>
                <c:pt idx="576">
                  <c:v>771.34860728858814</c:v>
                </c:pt>
                <c:pt idx="577">
                  <c:v>871.23193670918704</c:v>
                </c:pt>
                <c:pt idx="578">
                  <c:v>862.13248556359122</c:v>
                </c:pt>
                <c:pt idx="579">
                  <c:v>755.06153613832021</c:v>
                </c:pt>
                <c:pt idx="580">
                  <c:v>573.83609499223633</c:v>
                </c:pt>
                <c:pt idx="581">
                  <c:v>350.47702195198099</c:v>
                </c:pt>
                <c:pt idx="582">
                  <c:v>119.55888152625857</c:v>
                </c:pt>
                <c:pt idx="583">
                  <c:v>-87.493713141182411</c:v>
                </c:pt>
                <c:pt idx="584">
                  <c:v>-247.19032648483696</c:v>
                </c:pt>
                <c:pt idx="585">
                  <c:v>-347.05708751280417</c:v>
                </c:pt>
                <c:pt idx="586">
                  <c:v>-386.55844655726821</c:v>
                </c:pt>
                <c:pt idx="587">
                  <c:v>-375.79752196740685</c:v>
                </c:pt>
                <c:pt idx="588">
                  <c:v>-332.33529709645666</c:v>
                </c:pt>
                <c:pt idx="589">
                  <c:v>-276.8016045966562</c:v>
                </c:pt>
                <c:pt idx="590">
                  <c:v>-228.17635119336961</c:v>
                </c:pt>
                <c:pt idx="591">
                  <c:v>-199.66197549283817</c:v>
                </c:pt>
                <c:pt idx="592">
                  <c:v>-195.94117147858367</c:v>
                </c:pt>
                <c:pt idx="593">
                  <c:v>-212.34134482694225</c:v>
                </c:pt>
                <c:pt idx="594">
                  <c:v>-236.05913478784313</c:v>
                </c:pt>
                <c:pt idx="595">
                  <c:v>-249.20188965458641</c:v>
                </c:pt>
                <c:pt idx="596">
                  <c:v>-233.05070918020812</c:v>
                </c:pt>
                <c:pt idx="597">
                  <c:v>-172.70630448691068</c:v>
                </c:pt>
                <c:pt idx="598">
                  <c:v>-61.189851358304907</c:v>
                </c:pt>
                <c:pt idx="599">
                  <c:v>97.845990034726753</c:v>
                </c:pt>
                <c:pt idx="600">
                  <c:v>289.39881043471701</c:v>
                </c:pt>
                <c:pt idx="601">
                  <c:v>488.63502456492631</c:v>
                </c:pt>
                <c:pt idx="602">
                  <c:v>664.47710426527669</c:v>
                </c:pt>
                <c:pt idx="603">
                  <c:v>784.69950532571079</c:v>
                </c:pt>
                <c:pt idx="604">
                  <c:v>821.67319864218302</c:v>
                </c:pt>
                <c:pt idx="605">
                  <c:v>757.74604742290592</c:v>
                </c:pt>
                <c:pt idx="606">
                  <c:v>589.27135920325065</c:v>
                </c:pt>
                <c:pt idx="607">
                  <c:v>328.49894203225125</c:v>
                </c:pt>
                <c:pt idx="608">
                  <c:v>2.8897172775642161</c:v>
                </c:pt>
                <c:pt idx="609">
                  <c:v>-348.1518293925792</c:v>
                </c:pt>
                <c:pt idx="610">
                  <c:v>-678.68763037810891</c:v>
                </c:pt>
                <c:pt idx="611">
                  <c:v>-942.97855227717889</c:v>
                </c:pt>
                <c:pt idx="612">
                  <c:v>-1102.4718101860017</c:v>
                </c:pt>
                <c:pt idx="613">
                  <c:v>-1131.9053265523182</c:v>
                </c:pt>
                <c:pt idx="614">
                  <c:v>-1023.512929279477</c:v>
                </c:pt>
                <c:pt idx="615">
                  <c:v>-788.60997294731055</c:v>
                </c:pt>
                <c:pt idx="616">
                  <c:v>-456.26000545997402</c:v>
                </c:pt>
                <c:pt idx="617">
                  <c:v>-69.199011998962348</c:v>
                </c:pt>
                <c:pt idx="618">
                  <c:v>322.35586406167209</c:v>
                </c:pt>
                <c:pt idx="619">
                  <c:v>668.03790431303787</c:v>
                </c:pt>
                <c:pt idx="620">
                  <c:v>924.64058737242794</c:v>
                </c:pt>
                <c:pt idx="621">
                  <c:v>1062.2498998638443</c:v>
                </c:pt>
                <c:pt idx="622">
                  <c:v>1068.2422863170757</c:v>
                </c:pt>
                <c:pt idx="623">
                  <c:v>948.54841354625069</c:v>
                </c:pt>
                <c:pt idx="624">
                  <c:v>726.03731824517433</c:v>
                </c:pt>
                <c:pt idx="625">
                  <c:v>436.34969164184963</c:v>
                </c:pt>
                <c:pt idx="626">
                  <c:v>121.92239014276123</c:v>
                </c:pt>
                <c:pt idx="627">
                  <c:v>-174.77107176957969</c:v>
                </c:pt>
                <c:pt idx="628">
                  <c:v>-417.63423378578671</c:v>
                </c:pt>
                <c:pt idx="629">
                  <c:v>-581.97436004237261</c:v>
                </c:pt>
                <c:pt idx="630">
                  <c:v>-657.36542681356468</c:v>
                </c:pt>
                <c:pt idx="631">
                  <c:v>-647.96346510473666</c:v>
                </c:pt>
                <c:pt idx="632">
                  <c:v>-570.34118950255299</c:v>
                </c:pt>
                <c:pt idx="633">
                  <c:v>-449.33852286959166</c:v>
                </c:pt>
                <c:pt idx="634">
                  <c:v>-312.75904122986913</c:v>
                </c:pt>
                <c:pt idx="635">
                  <c:v>-185.92200792523465</c:v>
                </c:pt>
                <c:pt idx="636">
                  <c:v>-87.075620919759444</c:v>
                </c:pt>
                <c:pt idx="637">
                  <c:v>-24.492196456994634</c:v>
                </c:pt>
                <c:pt idx="638">
                  <c:v>4.264773649116762</c:v>
                </c:pt>
                <c:pt idx="639">
                  <c:v>10.827615053459425</c:v>
                </c:pt>
                <c:pt idx="640">
                  <c:v>12.616589343966069</c:v>
                </c:pt>
                <c:pt idx="641">
                  <c:v>28.245409514964138</c:v>
                </c:pt>
                <c:pt idx="642">
                  <c:v>72.672743899382965</c:v>
                </c:pt>
                <c:pt idx="643">
                  <c:v>153.08275241039956</c:v>
                </c:pt>
                <c:pt idx="644">
                  <c:v>266.34459974934447</c:v>
                </c:pt>
                <c:pt idx="645">
                  <c:v>398.60768714318249</c:v>
                </c:pt>
                <c:pt idx="646">
                  <c:v>527.18855100477117</c:v>
                </c:pt>
                <c:pt idx="647">
                  <c:v>624.46931679230227</c:v>
                </c:pt>
                <c:pt idx="648">
                  <c:v>663.13557364499025</c:v>
                </c:pt>
                <c:pt idx="649">
                  <c:v>621.80569386916079</c:v>
                </c:pt>
                <c:pt idx="650">
                  <c:v>489.99598795477328</c:v>
                </c:pt>
                <c:pt idx="651">
                  <c:v>271.44910114489454</c:v>
                </c:pt>
                <c:pt idx="652">
                  <c:v>-14.884710053274887</c:v>
                </c:pt>
                <c:pt idx="653">
                  <c:v>-336.52595024009884</c:v>
                </c:pt>
                <c:pt idx="654">
                  <c:v>-651.65140230960048</c:v>
                </c:pt>
                <c:pt idx="655">
                  <c:v>-915.18339021683812</c:v>
                </c:pt>
                <c:pt idx="656">
                  <c:v>-1085.8226739385916</c:v>
                </c:pt>
                <c:pt idx="657">
                  <c:v>-1132.8669518539464</c:v>
                </c:pt>
                <c:pt idx="658">
                  <c:v>-1041.6555022378354</c:v>
                </c:pt>
                <c:pt idx="659">
                  <c:v>-816.67933028421407</c:v>
                </c:pt>
                <c:pt idx="660">
                  <c:v>-481.76423720757157</c:v>
                </c:pt>
                <c:pt idx="661">
                  <c:v>-77.21063563788843</c:v>
                </c:pt>
                <c:pt idx="662">
                  <c:v>345.72162788454523</c:v>
                </c:pt>
                <c:pt idx="663">
                  <c:v>732.1487204078303</c:v>
                </c:pt>
                <c:pt idx="664">
                  <c:v>1031.5721314301609</c:v>
                </c:pt>
                <c:pt idx="665">
                  <c:v>1205.2927605044167</c:v>
                </c:pt>
                <c:pt idx="666">
                  <c:v>1232.0491929039786</c:v>
                </c:pt>
                <c:pt idx="667">
                  <c:v>1110.9853152737223</c:v>
                </c:pt>
                <c:pt idx="668">
                  <c:v>861.4876867410926</c:v>
                </c:pt>
                <c:pt idx="669">
                  <c:v>519.94444886952977</c:v>
                </c:pt>
                <c:pt idx="670">
                  <c:v>133.97852965840823</c:v>
                </c:pt>
                <c:pt idx="671">
                  <c:v>-244.88621561843226</c:v>
                </c:pt>
                <c:pt idx="672">
                  <c:v>-568.9247551804508</c:v>
                </c:pt>
                <c:pt idx="673">
                  <c:v>-801.03627841391676</c:v>
                </c:pt>
                <c:pt idx="674">
                  <c:v>-919.624421566097</c:v>
                </c:pt>
                <c:pt idx="675">
                  <c:v>-920.80863137400502</c:v>
                </c:pt>
                <c:pt idx="676">
                  <c:v>-817.7066158597745</c:v>
                </c:pt>
                <c:pt idx="677">
                  <c:v>-637.02711468029861</c:v>
                </c:pt>
                <c:pt idx="678">
                  <c:v>-413.66073604156111</c:v>
                </c:pt>
                <c:pt idx="679">
                  <c:v>-184.27745984503417</c:v>
                </c:pt>
                <c:pt idx="680">
                  <c:v>18.921411629498721</c:v>
                </c:pt>
                <c:pt idx="681">
                  <c:v>173.21336060097985</c:v>
                </c:pt>
                <c:pt idx="682">
                  <c:v>268.29700432321488</c:v>
                </c:pt>
                <c:pt idx="683">
                  <c:v>306.73265517888871</c:v>
                </c:pt>
                <c:pt idx="684">
                  <c:v>301.91290120544744</c:v>
                </c:pt>
                <c:pt idx="685">
                  <c:v>274.04698166891376</c:v>
                </c:pt>
                <c:pt idx="686">
                  <c:v>244.99986074252615</c:v>
                </c:pt>
                <c:pt idx="687">
                  <c:v>233.02559074581313</c:v>
                </c:pt>
                <c:pt idx="688">
                  <c:v>248.43982401870289</c:v>
                </c:pt>
                <c:pt idx="689">
                  <c:v>291.08802111378645</c:v>
                </c:pt>
                <c:pt idx="690">
                  <c:v>350.11869789484501</c:v>
                </c:pt>
                <c:pt idx="691">
                  <c:v>406.12831482455221</c:v>
                </c:pt>
                <c:pt idx="692">
                  <c:v>435.28689233553365</c:v>
                </c:pt>
                <c:pt idx="693">
                  <c:v>414.66488135759425</c:v>
                </c:pt>
                <c:pt idx="694">
                  <c:v>327.73397756572672</c:v>
                </c:pt>
                <c:pt idx="695">
                  <c:v>168.95428385865551</c:v>
                </c:pt>
                <c:pt idx="696">
                  <c:v>-53.499110487039047</c:v>
                </c:pt>
                <c:pt idx="697">
                  <c:v>-317.49815244314328</c:v>
                </c:pt>
                <c:pt idx="698">
                  <c:v>-589.39833470101132</c:v>
                </c:pt>
                <c:pt idx="699">
                  <c:v>-828.84805337045486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D-454F-A6D1-27E37F71A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50512"/>
        <c:axId val="217951072"/>
      </c:scatterChart>
      <c:valAx>
        <c:axId val="217950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7951072"/>
        <c:crosses val="autoZero"/>
        <c:crossBetween val="midCat"/>
      </c:valAx>
      <c:valAx>
        <c:axId val="2179510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17950512"/>
        <c:crosses val="autoZero"/>
        <c:crossBetween val="midCat"/>
      </c:valAx>
      <c:spPr>
        <a:noFill/>
        <a:ln w="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'3DRotate'!$G$10:$G$18</c:f>
              <c:numCache>
                <c:formatCode>General</c:formatCode>
                <c:ptCount val="9"/>
                <c:pt idx="0">
                  <c:v>5.6237763585966203</c:v>
                </c:pt>
                <c:pt idx="1">
                  <c:v>-5.6237763585966203</c:v>
                </c:pt>
                <c:pt idx="2">
                  <c:v>0</c:v>
                </c:pt>
                <c:pt idx="3">
                  <c:v>9.740666383494041</c:v>
                </c:pt>
                <c:pt idx="4">
                  <c:v>-9.740666383494041</c:v>
                </c:pt>
                <c:pt idx="5">
                  <c:v>0</c:v>
                </c:pt>
                <c:pt idx="6">
                  <c:v>-48.718503239261764</c:v>
                </c:pt>
                <c:pt idx="7">
                  <c:v>48.718503239261764</c:v>
                </c:pt>
                <c:pt idx="8">
                  <c:v>0</c:v>
                </c:pt>
              </c:numCache>
            </c:numRef>
          </c:xVal>
          <c:yVal>
            <c:numRef>
              <c:f>'3DRotate'!$H$10:$H$18</c:f>
              <c:numCache>
                <c:formatCode>General</c:formatCode>
                <c:ptCount val="9"/>
                <c:pt idx="0">
                  <c:v>-31.695643235739233</c:v>
                </c:pt>
                <c:pt idx="1">
                  <c:v>31.695643235739233</c:v>
                </c:pt>
                <c:pt idx="2">
                  <c:v>0</c:v>
                </c:pt>
                <c:pt idx="3">
                  <c:v>38.459578186843011</c:v>
                </c:pt>
                <c:pt idx="4">
                  <c:v>-38.459578186843011</c:v>
                </c:pt>
                <c:pt idx="5">
                  <c:v>0</c:v>
                </c:pt>
                <c:pt idx="6">
                  <c:v>4.0307624046632142</c:v>
                </c:pt>
                <c:pt idx="7">
                  <c:v>-4.0307624046632142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72-4E8D-9B5F-E5F461DAA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28864"/>
        <c:axId val="212830544"/>
      </c:scatterChart>
      <c:valAx>
        <c:axId val="212828864"/>
        <c:scaling>
          <c:orientation val="minMax"/>
          <c:max val="60"/>
          <c:min val="-60"/>
        </c:scaling>
        <c:delete val="1"/>
        <c:axPos val="b"/>
        <c:numFmt formatCode="General" sourceLinked="1"/>
        <c:majorTickMark val="out"/>
        <c:minorTickMark val="none"/>
        <c:tickLblPos val="nextTo"/>
        <c:crossAx val="212830544"/>
        <c:crosses val="autoZero"/>
        <c:crossBetween val="midCat"/>
      </c:valAx>
      <c:valAx>
        <c:axId val="212830544"/>
        <c:scaling>
          <c:orientation val="minMax"/>
          <c:max val="60"/>
          <c:min val="-60"/>
        </c:scaling>
        <c:delete val="1"/>
        <c:axPos val="l"/>
        <c:numFmt formatCode="General" sourceLinked="1"/>
        <c:majorTickMark val="out"/>
        <c:minorTickMark val="none"/>
        <c:tickLblPos val="nextTo"/>
        <c:crossAx val="21282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'3DRotate'!$G$21:$G$36</c:f>
              <c:numCache>
                <c:formatCode>General</c:formatCode>
                <c:ptCount val="16"/>
                <c:pt idx="0">
                  <c:v>-26.417696632079593</c:v>
                </c:pt>
                <c:pt idx="1">
                  <c:v>-32.041472990676212</c:v>
                </c:pt>
                <c:pt idx="2">
                  <c:v>-22.300806607182171</c:v>
                </c:pt>
                <c:pt idx="3">
                  <c:v>-16.677030248585552</c:v>
                </c:pt>
                <c:pt idx="4">
                  <c:v>-26.417696632079593</c:v>
                </c:pt>
                <c:pt idx="5">
                  <c:v>22.300806607182171</c:v>
                </c:pt>
                <c:pt idx="6">
                  <c:v>16.677030248585552</c:v>
                </c:pt>
                <c:pt idx="7">
                  <c:v>-32.041472990676212</c:v>
                </c:pt>
                <c:pt idx="8">
                  <c:v>-22.300806607182171</c:v>
                </c:pt>
                <c:pt idx="9">
                  <c:v>26.417696632079593</c:v>
                </c:pt>
                <c:pt idx="10">
                  <c:v>16.677030248585552</c:v>
                </c:pt>
                <c:pt idx="11">
                  <c:v>22.300806607182171</c:v>
                </c:pt>
                <c:pt idx="12">
                  <c:v>32.041472990676212</c:v>
                </c:pt>
                <c:pt idx="13">
                  <c:v>26.417696632079593</c:v>
                </c:pt>
                <c:pt idx="14">
                  <c:v>32.041472990676212</c:v>
                </c:pt>
                <c:pt idx="15">
                  <c:v>-16.677030248585552</c:v>
                </c:pt>
              </c:numCache>
            </c:numRef>
          </c:xVal>
          <c:yVal>
            <c:numRef>
              <c:f>'3DRotate'!$H$21:$H$36</c:f>
              <c:numCache>
                <c:formatCode>General</c:formatCode>
                <c:ptCount val="16"/>
                <c:pt idx="0">
                  <c:v>-33.062229508959518</c:v>
                </c:pt>
                <c:pt idx="1">
                  <c:v>-1.3665862732202818</c:v>
                </c:pt>
                <c:pt idx="2">
                  <c:v>37.092991913622726</c:v>
                </c:pt>
                <c:pt idx="3">
                  <c:v>5.397348677883496</c:v>
                </c:pt>
                <c:pt idx="4">
                  <c:v>-33.062229508959518</c:v>
                </c:pt>
                <c:pt idx="5">
                  <c:v>-37.092991913622726</c:v>
                </c:pt>
                <c:pt idx="6">
                  <c:v>-5.397348677883496</c:v>
                </c:pt>
                <c:pt idx="7">
                  <c:v>-1.3665862732202818</c:v>
                </c:pt>
                <c:pt idx="8">
                  <c:v>37.092991913622726</c:v>
                </c:pt>
                <c:pt idx="9">
                  <c:v>33.062229508959518</c:v>
                </c:pt>
                <c:pt idx="10">
                  <c:v>-5.397348677883496</c:v>
                </c:pt>
                <c:pt idx="11">
                  <c:v>-37.092991913622726</c:v>
                </c:pt>
                <c:pt idx="12">
                  <c:v>1.3665862732202818</c:v>
                </c:pt>
                <c:pt idx="13">
                  <c:v>33.062229508959518</c:v>
                </c:pt>
                <c:pt idx="14">
                  <c:v>1.3665862732202818</c:v>
                </c:pt>
                <c:pt idx="15">
                  <c:v>5.397348677883496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3-40F2-9C26-CE2831F46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33344"/>
        <c:axId val="216432464"/>
      </c:scatterChart>
      <c:valAx>
        <c:axId val="212833344"/>
        <c:scaling>
          <c:orientation val="minMax"/>
          <c:max val="60"/>
          <c:min val="-60"/>
        </c:scaling>
        <c:delete val="1"/>
        <c:axPos val="b"/>
        <c:numFmt formatCode="General" sourceLinked="1"/>
        <c:majorTickMark val="out"/>
        <c:minorTickMark val="none"/>
        <c:tickLblPos val="nextTo"/>
        <c:crossAx val="216432464"/>
        <c:crosses val="autoZero"/>
        <c:crossBetween val="midCat"/>
      </c:valAx>
      <c:valAx>
        <c:axId val="216432464"/>
        <c:scaling>
          <c:orientation val="minMax"/>
          <c:max val="60"/>
          <c:min val="-60"/>
        </c:scaling>
        <c:delete val="1"/>
        <c:axPos val="l"/>
        <c:numFmt formatCode="General" sourceLinked="1"/>
        <c:majorTickMark val="out"/>
        <c:minorTickMark val="none"/>
        <c:tickLblPos val="nextTo"/>
        <c:crossAx val="21283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'3DRotate (2)'!$G$4:$G$12</c:f>
              <c:numCache>
                <c:formatCode>General</c:formatCode>
                <c:ptCount val="9"/>
                <c:pt idx="0">
                  <c:v>-500</c:v>
                </c:pt>
                <c:pt idx="1">
                  <c:v>500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'3DRotate (2)'!$H$4:$H$12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-500</c:v>
                </c:pt>
                <c:pt idx="4">
                  <c:v>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98-4FCD-8AD7-890BF2807BD8}"/>
            </c:ext>
          </c:extLst>
        </c:ser>
        <c:ser>
          <c:idx val="1"/>
          <c:order val="1"/>
          <c:tx>
            <c:v>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'3DRotate (2)'!$G$14:$G$19</c:f>
              <c:numCache>
                <c:formatCode>General</c:formatCode>
                <c:ptCount val="6"/>
                <c:pt idx="0">
                  <c:v>-100</c:v>
                </c:pt>
                <c:pt idx="1">
                  <c:v>-100</c:v>
                </c:pt>
                <c:pt idx="2">
                  <c:v>-100</c:v>
                </c:pt>
                <c:pt idx="3">
                  <c:v>-100</c:v>
                </c:pt>
                <c:pt idx="4">
                  <c:v>-100</c:v>
                </c:pt>
                <c:pt idx="5">
                  <c:v>-100</c:v>
                </c:pt>
              </c:numCache>
            </c:numRef>
          </c:xVal>
          <c:yVal>
            <c:numRef>
              <c:f>'3DRotate (2)'!$H$14:$H$19</c:f>
              <c:numCache>
                <c:formatCode>General</c:formatCode>
                <c:ptCount val="6"/>
                <c:pt idx="0">
                  <c:v>0</c:v>
                </c:pt>
                <c:pt idx="1">
                  <c:v>100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98-4FCD-8AD7-890BF2807BD8}"/>
            </c:ext>
          </c:extLst>
        </c:ser>
        <c:ser>
          <c:idx val="2"/>
          <c:order val="2"/>
          <c:tx>
            <c:v>2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'3DRotate (2)'!$G$21:$G$30</c:f>
              <c:numCache>
                <c:formatCode>General</c:formatCode>
                <c:ptCount val="10"/>
                <c:pt idx="0">
                  <c:v>-75</c:v>
                </c:pt>
                <c:pt idx="1">
                  <c:v>-75</c:v>
                </c:pt>
                <c:pt idx="2">
                  <c:v>-25</c:v>
                </c:pt>
                <c:pt idx="3">
                  <c:v>-75</c:v>
                </c:pt>
                <c:pt idx="4">
                  <c:v>-75</c:v>
                </c:pt>
                <c:pt idx="6">
                  <c:v>-25</c:v>
                </c:pt>
                <c:pt idx="7">
                  <c:v>-25</c:v>
                </c:pt>
                <c:pt idx="8">
                  <c:v>-75</c:v>
                </c:pt>
                <c:pt idx="9">
                  <c:v>-25</c:v>
                </c:pt>
              </c:numCache>
            </c:numRef>
          </c:xVal>
          <c:yVal>
            <c:numRef>
              <c:f>'3DRotate (2)'!$H$21:$H$30</c:f>
              <c:numCache>
                <c:formatCode>General</c:formatCode>
                <c:ptCount val="10"/>
                <c:pt idx="0">
                  <c:v>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6">
                  <c:v>100</c:v>
                </c:pt>
                <c:pt idx="7">
                  <c:v>50</c:v>
                </c:pt>
                <c:pt idx="8">
                  <c:v>50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098-4FCD-8AD7-890BF2807BD8}"/>
            </c:ext>
          </c:extLst>
        </c:ser>
        <c:ser>
          <c:idx val="3"/>
          <c:order val="3"/>
          <c:tx>
            <c:v>3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'3DRotate (2)'!$G$32:$G$37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0</c:v>
                </c:pt>
                <c:pt idx="4">
                  <c:v>0</c:v>
                </c:pt>
                <c:pt idx="5">
                  <c:v>50</c:v>
                </c:pt>
              </c:numCache>
            </c:numRef>
          </c:xVal>
          <c:yVal>
            <c:numRef>
              <c:f>'3DRotate (2)'!$H$32:$H$37</c:f>
              <c:numCache>
                <c:formatCode>General</c:formatCode>
                <c:ptCount val="6"/>
                <c:pt idx="0">
                  <c:v>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50</c:v>
                </c:pt>
                <c:pt idx="5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098-4FCD-8AD7-890BF2807BD8}"/>
            </c:ext>
          </c:extLst>
        </c:ser>
        <c:ser>
          <c:idx val="4"/>
          <c:order val="4"/>
          <c:tx>
            <c:v>4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'3DRotate (2)'!$G$39:$G$46</c:f>
              <c:numCache>
                <c:formatCode>General</c:formatCode>
                <c:ptCount val="8"/>
                <c:pt idx="0">
                  <c:v>62.5</c:v>
                </c:pt>
                <c:pt idx="1">
                  <c:v>87.5</c:v>
                </c:pt>
                <c:pt idx="3">
                  <c:v>87.5</c:v>
                </c:pt>
                <c:pt idx="4">
                  <c:v>100</c:v>
                </c:pt>
                <c:pt idx="5">
                  <c:v>112.5</c:v>
                </c:pt>
                <c:pt idx="6">
                  <c:v>100</c:v>
                </c:pt>
                <c:pt idx="7">
                  <c:v>75</c:v>
                </c:pt>
              </c:numCache>
            </c:numRef>
          </c:xVal>
          <c:yVal>
            <c:numRef>
              <c:f>'3DRotate (2)'!$H$39:$H$46</c:f>
              <c:numCache>
                <c:formatCode>General</c:formatCode>
                <c:ptCount val="8"/>
                <c:pt idx="0">
                  <c:v>0</c:v>
                </c:pt>
                <c:pt idx="1">
                  <c:v>100</c:v>
                </c:pt>
                <c:pt idx="3">
                  <c:v>100</c:v>
                </c:pt>
                <c:pt idx="4">
                  <c:v>50</c:v>
                </c:pt>
                <c:pt idx="5">
                  <c:v>0</c:v>
                </c:pt>
                <c:pt idx="6">
                  <c:v>50</c:v>
                </c:pt>
                <c:pt idx="7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098-4FCD-8AD7-890BF2807BD8}"/>
            </c:ext>
          </c:extLst>
        </c:ser>
        <c:ser>
          <c:idx val="5"/>
          <c:order val="5"/>
          <c:tx>
            <c:v>5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'3DRotate (2)'!$G$48:$G$53</c:f>
              <c:numCache>
                <c:formatCode>General</c:formatCode>
                <c:ptCount val="6"/>
                <c:pt idx="0">
                  <c:v>150</c:v>
                </c:pt>
                <c:pt idx="1">
                  <c:v>150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</c:numCache>
            </c:numRef>
          </c:xVal>
          <c:yVal>
            <c:numRef>
              <c:f>'3DRotate (2)'!$H$48:$H$53</c:f>
              <c:numCache>
                <c:formatCode>General</c:formatCode>
                <c:ptCount val="6"/>
                <c:pt idx="0">
                  <c:v>0</c:v>
                </c:pt>
                <c:pt idx="1">
                  <c:v>100</c:v>
                </c:pt>
                <c:pt idx="2">
                  <c:v>0</c:v>
                </c:pt>
                <c:pt idx="3">
                  <c:v>50</c:v>
                </c:pt>
                <c:pt idx="4">
                  <c:v>50</c:v>
                </c:pt>
                <c:pt idx="5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098-4FCD-8AD7-890BF2807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38064"/>
        <c:axId val="216438624"/>
      </c:scatterChart>
      <c:valAx>
        <c:axId val="216438064"/>
        <c:scaling>
          <c:orientation val="minMax"/>
          <c:max val="275"/>
          <c:min val="-200"/>
        </c:scaling>
        <c:delete val="1"/>
        <c:axPos val="b"/>
        <c:numFmt formatCode="General" sourceLinked="1"/>
        <c:majorTickMark val="out"/>
        <c:minorTickMark val="none"/>
        <c:tickLblPos val="nextTo"/>
        <c:crossAx val="216438624"/>
        <c:crosses val="autoZero"/>
        <c:crossBetween val="midCat"/>
      </c:valAx>
      <c:valAx>
        <c:axId val="216438624"/>
        <c:scaling>
          <c:orientation val="minMax"/>
          <c:max val="300"/>
          <c:min val="-300"/>
        </c:scaling>
        <c:delete val="1"/>
        <c:axPos val="l"/>
        <c:numFmt formatCode="General" sourceLinked="1"/>
        <c:majorTickMark val="out"/>
        <c:minorTickMark val="none"/>
        <c:tickLblPos val="nextTo"/>
        <c:crossAx val="21643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1</c:v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'3DRotate (2)'!$G$4:$G$12</c:f>
              <c:numCache>
                <c:formatCode>General</c:formatCode>
                <c:ptCount val="9"/>
                <c:pt idx="0">
                  <c:v>-500</c:v>
                </c:pt>
                <c:pt idx="1">
                  <c:v>500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'3DRotate (2)'!$H$4:$H$12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-500</c:v>
                </c:pt>
                <c:pt idx="4">
                  <c:v>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6-4C39-907F-C239C2D0E6D7}"/>
            </c:ext>
          </c:extLst>
        </c:ser>
        <c:ser>
          <c:idx val="0"/>
          <c:order val="1"/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'3DRotate (2)'!$G$14:$G$53</c:f>
              <c:numCache>
                <c:formatCode>General</c:formatCode>
                <c:ptCount val="40"/>
                <c:pt idx="0">
                  <c:v>-100</c:v>
                </c:pt>
                <c:pt idx="1">
                  <c:v>-100</c:v>
                </c:pt>
                <c:pt idx="2">
                  <c:v>-100</c:v>
                </c:pt>
                <c:pt idx="3">
                  <c:v>-100</c:v>
                </c:pt>
                <c:pt idx="4">
                  <c:v>-100</c:v>
                </c:pt>
                <c:pt idx="5">
                  <c:v>-100</c:v>
                </c:pt>
                <c:pt idx="7">
                  <c:v>-75</c:v>
                </c:pt>
                <c:pt idx="8">
                  <c:v>-75</c:v>
                </c:pt>
                <c:pt idx="9">
                  <c:v>-25</c:v>
                </c:pt>
                <c:pt idx="10">
                  <c:v>-75</c:v>
                </c:pt>
                <c:pt idx="11">
                  <c:v>-75</c:v>
                </c:pt>
                <c:pt idx="13">
                  <c:v>-25</c:v>
                </c:pt>
                <c:pt idx="14">
                  <c:v>-25</c:v>
                </c:pt>
                <c:pt idx="15">
                  <c:v>-75</c:v>
                </c:pt>
                <c:pt idx="16">
                  <c:v>-25</c:v>
                </c:pt>
                <c:pt idx="18">
                  <c:v>0</c:v>
                </c:pt>
                <c:pt idx="19">
                  <c:v>0</c:v>
                </c:pt>
                <c:pt idx="20">
                  <c:v>50</c:v>
                </c:pt>
                <c:pt idx="21">
                  <c:v>0</c:v>
                </c:pt>
                <c:pt idx="22">
                  <c:v>0</c:v>
                </c:pt>
                <c:pt idx="23">
                  <c:v>50</c:v>
                </c:pt>
                <c:pt idx="25">
                  <c:v>62.5</c:v>
                </c:pt>
                <c:pt idx="26">
                  <c:v>87.5</c:v>
                </c:pt>
                <c:pt idx="28">
                  <c:v>87.5</c:v>
                </c:pt>
                <c:pt idx="29">
                  <c:v>100</c:v>
                </c:pt>
                <c:pt idx="30">
                  <c:v>112.5</c:v>
                </c:pt>
                <c:pt idx="31">
                  <c:v>100</c:v>
                </c:pt>
                <c:pt idx="32">
                  <c:v>75</c:v>
                </c:pt>
                <c:pt idx="34">
                  <c:v>150</c:v>
                </c:pt>
                <c:pt idx="35">
                  <c:v>150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</c:numCache>
            </c:numRef>
          </c:xVal>
          <c:yVal>
            <c:numRef>
              <c:f>'3DRotate (2)'!$H$14:$H$53</c:f>
              <c:numCache>
                <c:formatCode>General</c:formatCode>
                <c:ptCount val="40"/>
                <c:pt idx="0">
                  <c:v>0</c:v>
                </c:pt>
                <c:pt idx="1">
                  <c:v>100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3">
                  <c:v>100</c:v>
                </c:pt>
                <c:pt idx="14">
                  <c:v>50</c:v>
                </c:pt>
                <c:pt idx="15">
                  <c:v>50</c:v>
                </c:pt>
                <c:pt idx="16">
                  <c:v>0</c:v>
                </c:pt>
                <c:pt idx="18">
                  <c:v>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50</c:v>
                </c:pt>
                <c:pt idx="23">
                  <c:v>50</c:v>
                </c:pt>
                <c:pt idx="25">
                  <c:v>0</c:v>
                </c:pt>
                <c:pt idx="26">
                  <c:v>100</c:v>
                </c:pt>
                <c:pt idx="28">
                  <c:v>100</c:v>
                </c:pt>
                <c:pt idx="29">
                  <c:v>50</c:v>
                </c:pt>
                <c:pt idx="30">
                  <c:v>0</c:v>
                </c:pt>
                <c:pt idx="31">
                  <c:v>50</c:v>
                </c:pt>
                <c:pt idx="32">
                  <c:v>50</c:v>
                </c:pt>
                <c:pt idx="34">
                  <c:v>0</c:v>
                </c:pt>
                <c:pt idx="35">
                  <c:v>100</c:v>
                </c:pt>
                <c:pt idx="36">
                  <c:v>0</c:v>
                </c:pt>
                <c:pt idx="37">
                  <c:v>50</c:v>
                </c:pt>
                <c:pt idx="38">
                  <c:v>50</c:v>
                </c:pt>
                <c:pt idx="3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6-4C39-907F-C239C2D0E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76352"/>
        <c:axId val="215776912"/>
      </c:scatterChart>
      <c:valAx>
        <c:axId val="215776352"/>
        <c:scaling>
          <c:orientation val="minMax"/>
          <c:max val="275"/>
          <c:min val="-200"/>
        </c:scaling>
        <c:delete val="1"/>
        <c:axPos val="b"/>
        <c:numFmt formatCode="General" sourceLinked="1"/>
        <c:majorTickMark val="out"/>
        <c:minorTickMark val="none"/>
        <c:tickLblPos val="nextTo"/>
        <c:crossAx val="215776912"/>
        <c:crosses val="autoZero"/>
        <c:crossBetween val="midCat"/>
      </c:valAx>
      <c:valAx>
        <c:axId val="215776912"/>
        <c:scaling>
          <c:orientation val="minMax"/>
          <c:max val="120"/>
          <c:min val="-10"/>
        </c:scaling>
        <c:delete val="1"/>
        <c:axPos val="l"/>
        <c:numFmt formatCode="General" sourceLinked="1"/>
        <c:majorTickMark val="out"/>
        <c:minorTickMark val="none"/>
        <c:tickLblPos val="nextTo"/>
        <c:crossAx val="2157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552450</xdr:colOff>
      <xdr:row>1</xdr:row>
      <xdr:rowOff>4762</xdr:rowOff>
    </xdr:from>
    <xdr:to>
      <xdr:col>11</xdr:col>
      <xdr:colOff>247650</xdr:colOff>
      <xdr:row>15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2</xdr:row>
          <xdr:rowOff>104775</xdr:rowOff>
        </xdr:from>
        <xdr:to>
          <xdr:col>13</xdr:col>
          <xdr:colOff>419100</xdr:colOff>
          <xdr:row>5</xdr:row>
          <xdr:rowOff>114300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pSpPr/>
          </xdr:nvGrpSpPr>
          <xdr:grpSpPr>
            <a:xfrm>
              <a:off x="7143750" y="473074"/>
              <a:ext cx="1200150" cy="561975"/>
              <a:chOff x="7143750" y="485773"/>
              <a:chExt cx="1200150" cy="581027"/>
            </a:xfrm>
          </xdr:grpSpPr>
          <xdr:sp macro="" textlink="">
            <xdr:nvSpPr>
              <xdr:cNvPr id="1025" name="Option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7143750" y="485773"/>
                <a:ext cx="118110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6" name="OptionButton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200-000002040000}"/>
                  </a:ext>
                </a:extLst>
              </xdr:cNvPr>
              <xdr:cNvSpPr/>
            </xdr:nvSpPr>
            <xdr:spPr bwMode="auto">
              <a:xfrm>
                <a:off x="7162800" y="771525"/>
                <a:ext cx="118110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279400</xdr:colOff>
          <xdr:row>6</xdr:row>
          <xdr:rowOff>19050</xdr:rowOff>
        </xdr:from>
        <xdr:to>
          <xdr:col>14</xdr:col>
          <xdr:colOff>457200</xdr:colOff>
          <xdr:row>7</xdr:row>
          <xdr:rowOff>76200</xdr:rowOff>
        </xdr:to>
        <xdr:sp macro="" textlink="">
          <xdr:nvSpPr>
            <xdr:cNvPr id="1027" name="ScrollBar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12700</xdr:rowOff>
        </xdr:from>
        <xdr:to>
          <xdr:col>5</xdr:col>
          <xdr:colOff>603250</xdr:colOff>
          <xdr:row>2</xdr:row>
          <xdr:rowOff>6350</xdr:rowOff>
        </xdr:to>
        <xdr:sp macro="" textlink="">
          <xdr:nvSpPr>
            <xdr:cNvPr id="3073" name="ScrollBar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31750</xdr:rowOff>
        </xdr:from>
        <xdr:to>
          <xdr:col>5</xdr:col>
          <xdr:colOff>603250</xdr:colOff>
          <xdr:row>3</xdr:row>
          <xdr:rowOff>25400</xdr:rowOff>
        </xdr:to>
        <xdr:sp macro="" textlink="">
          <xdr:nvSpPr>
            <xdr:cNvPr id="3074" name="ScrollBar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38100</xdr:rowOff>
        </xdr:from>
        <xdr:to>
          <xdr:col>5</xdr:col>
          <xdr:colOff>603250</xdr:colOff>
          <xdr:row>4</xdr:row>
          <xdr:rowOff>31750</xdr:rowOff>
        </xdr:to>
        <xdr:sp macro="" textlink="">
          <xdr:nvSpPr>
            <xdr:cNvPr id="3075" name="ScrollBar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390525</xdr:colOff>
      <xdr:row>0</xdr:row>
      <xdr:rowOff>152400</xdr:rowOff>
    </xdr:from>
    <xdr:to>
      <xdr:col>17</xdr:col>
      <xdr:colOff>304125</xdr:colOff>
      <xdr:row>28</xdr:row>
      <xdr:rowOff>180300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12700</xdr:rowOff>
        </xdr:from>
        <xdr:to>
          <xdr:col>8</xdr:col>
          <xdr:colOff>196850</xdr:colOff>
          <xdr:row>4</xdr:row>
          <xdr:rowOff>6350</xdr:rowOff>
        </xdr:to>
        <xdr:sp macro="" textlink="">
          <xdr:nvSpPr>
            <xdr:cNvPr id="4097" name="ScrollBar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19050</xdr:rowOff>
        </xdr:from>
        <xdr:to>
          <xdr:col>8</xdr:col>
          <xdr:colOff>196850</xdr:colOff>
          <xdr:row>5</xdr:row>
          <xdr:rowOff>12700</xdr:rowOff>
        </xdr:to>
        <xdr:sp macro="" textlink="">
          <xdr:nvSpPr>
            <xdr:cNvPr id="4098" name="ScrollBar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8</xdr:col>
          <xdr:colOff>196850</xdr:colOff>
          <xdr:row>6</xdr:row>
          <xdr:rowOff>12700</xdr:rowOff>
        </xdr:to>
        <xdr:sp macro="" textlink="">
          <xdr:nvSpPr>
            <xdr:cNvPr id="4099" name="ScrollBar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604837</xdr:colOff>
      <xdr:row>3</xdr:row>
      <xdr:rowOff>9525</xdr:rowOff>
    </xdr:from>
    <xdr:to>
      <xdr:col>15</xdr:col>
      <xdr:colOff>547237</xdr:colOff>
      <xdr:row>21</xdr:row>
      <xdr:rowOff>151950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200025</xdr:colOff>
      <xdr:row>3</xdr:row>
      <xdr:rowOff>9525</xdr:rowOff>
    </xdr:from>
    <xdr:to>
      <xdr:col>22</xdr:col>
      <xdr:colOff>142425</xdr:colOff>
      <xdr:row>21</xdr:row>
      <xdr:rowOff>151950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15</xdr:row>
          <xdr:rowOff>19050</xdr:rowOff>
        </xdr:from>
        <xdr:to>
          <xdr:col>32</xdr:col>
          <xdr:colOff>247650</xdr:colOff>
          <xdr:row>18</xdr:row>
          <xdr:rowOff>557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8197850" y="2813048"/>
              <a:ext cx="2095500" cy="553005"/>
              <a:chOff x="676275" y="552450"/>
              <a:chExt cx="2409825" cy="572057"/>
            </a:xfrm>
          </xdr:grpSpPr>
          <xdr:sp macro="" textlink="">
            <xdr:nvSpPr>
              <xdr:cNvPr id="5121" name="ScrollBar1" hidden="1">
                <a:extLst>
                  <a:ext uri="{63B3BB69-23CF-44E3-9099-C40C66FF867C}">
                    <a14:compatExt spid="_x0000_s5121"/>
                  </a:ext>
                  <a:ext uri="{FF2B5EF4-FFF2-40B4-BE49-F238E27FC236}">
                    <a16:creationId xmlns:a16="http://schemas.microsoft.com/office/drawing/2014/main" id="{00000000-0008-0000-0500-000001140000}"/>
                  </a:ext>
                </a:extLst>
              </xdr:cNvPr>
              <xdr:cNvSpPr/>
            </xdr:nvSpPr>
            <xdr:spPr bwMode="auto">
              <a:xfrm>
                <a:off x="676275" y="552450"/>
                <a:ext cx="2409825" cy="1809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2" name="ScrollBar2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500-000002140000}"/>
                  </a:ext>
                </a:extLst>
              </xdr:cNvPr>
              <xdr:cNvSpPr/>
            </xdr:nvSpPr>
            <xdr:spPr bwMode="auto">
              <a:xfrm>
                <a:off x="676275" y="752475"/>
                <a:ext cx="2409825" cy="1809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3" name="ScrollBar3" hidden="1">
                <a:extLst>
                  <a:ext uri="{63B3BB69-23CF-44E3-9099-C40C66FF867C}">
                    <a14:compatExt spid="_x0000_s5123"/>
                  </a:ext>
                  <a:ext uri="{FF2B5EF4-FFF2-40B4-BE49-F238E27FC236}">
                    <a16:creationId xmlns:a16="http://schemas.microsoft.com/office/drawing/2014/main" id="{00000000-0008-0000-0500-000003140000}"/>
                  </a:ext>
                </a:extLst>
              </xdr:cNvPr>
              <xdr:cNvSpPr/>
            </xdr:nvSpPr>
            <xdr:spPr bwMode="auto">
              <a:xfrm>
                <a:off x="676275" y="942975"/>
                <a:ext cx="2409825" cy="18153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8</xdr:col>
      <xdr:colOff>166687</xdr:colOff>
      <xdr:row>0</xdr:row>
      <xdr:rowOff>76200</xdr:rowOff>
    </xdr:from>
    <xdr:to>
      <xdr:col>24</xdr:col>
      <xdr:colOff>70987</xdr:colOff>
      <xdr:row>18</xdr:row>
      <xdr:rowOff>171000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76200</xdr:colOff>
      <xdr:row>0</xdr:row>
      <xdr:rowOff>104775</xdr:rowOff>
    </xdr:from>
    <xdr:to>
      <xdr:col>36</xdr:col>
      <xdr:colOff>47625</xdr:colOff>
      <xdr:row>14</xdr:row>
      <xdr:rowOff>104775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571500</xdr:colOff>
          <xdr:row>18</xdr:row>
          <xdr:rowOff>57150</xdr:rowOff>
        </xdr:from>
        <xdr:to>
          <xdr:col>31</xdr:col>
          <xdr:colOff>133350</xdr:colOff>
          <xdr:row>19</xdr:row>
          <xdr:rowOff>133350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4.vml"/><Relationship Id="rId7" Type="http://schemas.openxmlformats.org/officeDocument/2006/relationships/control" Target="../activeX/activeX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1A81C-EBED-4927-A111-780D4FC690E0}">
  <sheetPr codeName="Sheet5"/>
  <dimension ref="B2"/>
  <sheetViews>
    <sheetView tabSelected="1" workbookViewId="0"/>
  </sheetViews>
  <sheetFormatPr defaultRowHeight="14.5" x14ac:dyDescent="0.35"/>
  <sheetData>
    <row r="2" spans="2:2" x14ac:dyDescent="0.35">
      <c r="B2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B1:B3"/>
  <sheetViews>
    <sheetView showGridLines="0" zoomScale="200" zoomScaleNormal="200" workbookViewId="0">
      <selection activeCell="B3" sqref="B3"/>
    </sheetView>
  </sheetViews>
  <sheetFormatPr defaultRowHeight="14.5" x14ac:dyDescent="0.35"/>
  <cols>
    <col min="2" max="2" width="71.453125" customWidth="1"/>
    <col min="4" max="5" width="11.1796875" bestFit="1" customWidth="1"/>
  </cols>
  <sheetData>
    <row r="1" spans="2:2" ht="15" thickBot="1" x14ac:dyDescent="0.4"/>
    <row r="2" spans="2:2" ht="46.5" thickBot="1" x14ac:dyDescent="1.05">
      <c r="B2" s="2">
        <v>1007664322234</v>
      </c>
    </row>
    <row r="3" spans="2:2" ht="63.5" thickBot="1" x14ac:dyDescent="0.4">
      <c r="B3" s="1" t="str">
        <f>PROPER(TERBILANG(B2,"rupiah"))</f>
        <v>Satu Triliun Tujuh Miliar Enam Ratus Enam Puluh Empat Juta Tiga Ratus Dua Puluh Dua Ribu Dua Ratus Tiga Puluh Empat Rupiah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5E531-F3DF-435E-8397-AC10301C8A10}">
  <sheetPr codeName="Sheet2"/>
  <dimension ref="A2:F206"/>
  <sheetViews>
    <sheetView showGridLines="0" workbookViewId="0">
      <selection activeCell="N15" sqref="N15"/>
    </sheetView>
  </sheetViews>
  <sheetFormatPr defaultRowHeight="14.5" x14ac:dyDescent="0.35"/>
  <sheetData>
    <row r="2" spans="1:2" x14ac:dyDescent="0.35">
      <c r="B2">
        <v>1</v>
      </c>
    </row>
    <row r="3" spans="1:2" x14ac:dyDescent="0.35">
      <c r="B3">
        <v>7</v>
      </c>
    </row>
    <row r="4" spans="1:2" x14ac:dyDescent="0.35">
      <c r="B4">
        <f>(B3-B2)/200</f>
        <v>0.03</v>
      </c>
    </row>
    <row r="6" spans="1:2" x14ac:dyDescent="0.35">
      <c r="A6">
        <f>$B$2</f>
        <v>1</v>
      </c>
      <c r="B6">
        <f>100*IF($E$20,SIN(A6*$F$20/100),COS(A6*$F$20/100))/(A6^(3/2))</f>
        <v>-83.907152907645241</v>
      </c>
    </row>
    <row r="7" spans="1:2" x14ac:dyDescent="0.35">
      <c r="A7">
        <f>A6+$B$4</f>
        <v>1.03</v>
      </c>
      <c r="B7">
        <f t="shared" ref="B7:B70" si="0">100*IF($E$20,SIN(A7*$F$20/100),COS(A7*$F$20/100))/(A7^(3/2))</f>
        <v>-61.303401114318888</v>
      </c>
    </row>
    <row r="8" spans="1:2" x14ac:dyDescent="0.35">
      <c r="A8">
        <f t="shared" ref="A8:A71" si="1">A7+$B$4</f>
        <v>1.06</v>
      </c>
      <c r="B8">
        <f t="shared" si="0"/>
        <v>-35.308824238019284</v>
      </c>
    </row>
    <row r="9" spans="1:2" x14ac:dyDescent="0.35">
      <c r="A9">
        <f t="shared" si="1"/>
        <v>1.0900000000000001</v>
      </c>
      <c r="B9">
        <f t="shared" si="0"/>
        <v>-8.3857120969874597</v>
      </c>
    </row>
    <row r="10" spans="1:2" x14ac:dyDescent="0.35">
      <c r="A10">
        <f t="shared" si="1"/>
        <v>1.1200000000000001</v>
      </c>
      <c r="B10">
        <f t="shared" si="0"/>
        <v>17.126925529366947</v>
      </c>
    </row>
    <row r="11" spans="1:2" x14ac:dyDescent="0.35">
      <c r="A11">
        <f t="shared" si="1"/>
        <v>1.1500000000000001</v>
      </c>
      <c r="B11">
        <f t="shared" si="0"/>
        <v>39.189914033269929</v>
      </c>
    </row>
    <row r="12" spans="1:2" x14ac:dyDescent="0.35">
      <c r="A12">
        <f t="shared" si="1"/>
        <v>1.1800000000000002</v>
      </c>
      <c r="B12">
        <f t="shared" si="0"/>
        <v>56.204394412587646</v>
      </c>
    </row>
    <row r="13" spans="1:2" x14ac:dyDescent="0.35">
      <c r="A13">
        <f t="shared" si="1"/>
        <v>1.2100000000000002</v>
      </c>
      <c r="B13">
        <f t="shared" si="0"/>
        <v>67.107897183269941</v>
      </c>
    </row>
    <row r="14" spans="1:2" x14ac:dyDescent="0.35">
      <c r="A14">
        <f t="shared" si="1"/>
        <v>1.2400000000000002</v>
      </c>
      <c r="B14">
        <f t="shared" si="0"/>
        <v>71.421518672288627</v>
      </c>
    </row>
    <row r="15" spans="1:2" x14ac:dyDescent="0.35">
      <c r="A15">
        <f t="shared" si="1"/>
        <v>1.2700000000000002</v>
      </c>
      <c r="B15">
        <f t="shared" si="0"/>
        <v>69.247686014819806</v>
      </c>
    </row>
    <row r="16" spans="1:2" x14ac:dyDescent="0.35">
      <c r="A16">
        <f t="shared" si="1"/>
        <v>1.3000000000000003</v>
      </c>
      <c r="B16">
        <f t="shared" si="0"/>
        <v>61.221805905018989</v>
      </c>
    </row>
    <row r="17" spans="1:6" x14ac:dyDescent="0.35">
      <c r="A17">
        <f t="shared" si="1"/>
        <v>1.3300000000000003</v>
      </c>
      <c r="B17">
        <f t="shared" si="0"/>
        <v>48.424452068206229</v>
      </c>
    </row>
    <row r="18" spans="1:6" x14ac:dyDescent="0.35">
      <c r="A18">
        <f t="shared" si="1"/>
        <v>1.3600000000000003</v>
      </c>
      <c r="B18">
        <f t="shared" si="0"/>
        <v>32.263423057899921</v>
      </c>
    </row>
    <row r="19" spans="1:6" ht="15" thickBot="1" x14ac:dyDescent="0.4">
      <c r="A19">
        <f t="shared" si="1"/>
        <v>1.3900000000000003</v>
      </c>
      <c r="B19">
        <f t="shared" si="0"/>
        <v>14.336822670200929</v>
      </c>
    </row>
    <row r="20" spans="1:6" ht="15" thickBot="1" x14ac:dyDescent="0.4">
      <c r="A20">
        <f t="shared" si="1"/>
        <v>1.4200000000000004</v>
      </c>
      <c r="B20">
        <f t="shared" si="0"/>
        <v>-3.7108199530439943</v>
      </c>
      <c r="E20" s="3" t="b">
        <v>0</v>
      </c>
      <c r="F20" s="4">
        <v>1000</v>
      </c>
    </row>
    <row r="21" spans="1:6" ht="15" thickBot="1" x14ac:dyDescent="0.4">
      <c r="A21">
        <f t="shared" si="1"/>
        <v>1.4500000000000004</v>
      </c>
      <c r="B21">
        <f t="shared" si="0"/>
        <v>-20.327486929107057</v>
      </c>
      <c r="E21" s="5" t="b">
        <v>1</v>
      </c>
    </row>
    <row r="22" spans="1:6" x14ac:dyDescent="0.35">
      <c r="A22">
        <f t="shared" si="1"/>
        <v>1.4800000000000004</v>
      </c>
      <c r="B22">
        <f t="shared" si="0"/>
        <v>-34.176798997835689</v>
      </c>
      <c r="E22" t="str">
        <f>IF(E20,"SIN","COS")</f>
        <v>COS</v>
      </c>
    </row>
    <row r="23" spans="1:6" x14ac:dyDescent="0.35">
      <c r="A23">
        <f t="shared" si="1"/>
        <v>1.5100000000000005</v>
      </c>
      <c r="B23">
        <f t="shared" si="0"/>
        <v>-44.236306165985219</v>
      </c>
    </row>
    <row r="24" spans="1:6" x14ac:dyDescent="0.35">
      <c r="A24">
        <f t="shared" si="1"/>
        <v>1.5400000000000005</v>
      </c>
      <c r="B24">
        <f t="shared" si="0"/>
        <v>-49.864372991081822</v>
      </c>
    </row>
    <row r="25" spans="1:6" x14ac:dyDescent="0.35">
      <c r="A25">
        <f t="shared" si="1"/>
        <v>1.5700000000000005</v>
      </c>
      <c r="B25">
        <f t="shared" si="0"/>
        <v>-50.83194775831717</v>
      </c>
    </row>
    <row r="26" spans="1:6" x14ac:dyDescent="0.35">
      <c r="A26">
        <f t="shared" si="1"/>
        <v>1.6000000000000005</v>
      </c>
      <c r="B26">
        <f t="shared" si="0"/>
        <v>-47.318518448048344</v>
      </c>
    </row>
    <row r="27" spans="1:6" x14ac:dyDescent="0.35">
      <c r="A27">
        <f t="shared" si="1"/>
        <v>1.6300000000000006</v>
      </c>
      <c r="B27">
        <f t="shared" si="0"/>
        <v>-39.874482380333184</v>
      </c>
    </row>
    <row r="28" spans="1:6" x14ac:dyDescent="0.35">
      <c r="A28">
        <f t="shared" si="1"/>
        <v>1.6600000000000006</v>
      </c>
      <c r="B28">
        <f t="shared" si="0"/>
        <v>-29.354762627087467</v>
      </c>
    </row>
    <row r="29" spans="1:6" x14ac:dyDescent="0.35">
      <c r="A29">
        <f t="shared" si="1"/>
        <v>1.6900000000000006</v>
      </c>
      <c r="B29">
        <f t="shared" si="0"/>
        <v>-16.830599174472752</v>
      </c>
    </row>
    <row r="30" spans="1:6" x14ac:dyDescent="0.35">
      <c r="A30">
        <f t="shared" si="1"/>
        <v>1.7200000000000006</v>
      </c>
      <c r="B30">
        <f t="shared" si="0"/>
        <v>-3.4878814572543031</v>
      </c>
    </row>
    <row r="31" spans="1:6" x14ac:dyDescent="0.35">
      <c r="A31">
        <f t="shared" si="1"/>
        <v>1.7500000000000007</v>
      </c>
      <c r="B31">
        <f t="shared" si="0"/>
        <v>9.4789154345583988</v>
      </c>
    </row>
    <row r="32" spans="1:6" x14ac:dyDescent="0.35">
      <c r="A32">
        <f t="shared" si="1"/>
        <v>1.7800000000000007</v>
      </c>
      <c r="B32">
        <f t="shared" si="0"/>
        <v>20.968199647301748</v>
      </c>
    </row>
    <row r="33" spans="1:2" x14ac:dyDescent="0.35">
      <c r="A33">
        <f t="shared" si="1"/>
        <v>1.8100000000000007</v>
      </c>
      <c r="B33">
        <f t="shared" si="0"/>
        <v>30.059944498568441</v>
      </c>
    </row>
    <row r="34" spans="1:2" x14ac:dyDescent="0.35">
      <c r="A34">
        <f t="shared" si="1"/>
        <v>1.8400000000000007</v>
      </c>
      <c r="B34">
        <f t="shared" si="0"/>
        <v>36.08482304567783</v>
      </c>
    </row>
    <row r="35" spans="1:2" x14ac:dyDescent="0.35">
      <c r="A35">
        <f t="shared" si="1"/>
        <v>1.8700000000000008</v>
      </c>
      <c r="B35">
        <f t="shared" si="0"/>
        <v>38.668956184993505</v>
      </c>
    </row>
    <row r="36" spans="1:2" x14ac:dyDescent="0.35">
      <c r="A36">
        <f t="shared" si="1"/>
        <v>1.9000000000000008</v>
      </c>
      <c r="B36">
        <f t="shared" si="0"/>
        <v>37.751669414132316</v>
      </c>
    </row>
    <row r="37" spans="1:2" x14ac:dyDescent="0.35">
      <c r="A37">
        <f t="shared" si="1"/>
        <v>1.9300000000000008</v>
      </c>
      <c r="B37">
        <f t="shared" si="0"/>
        <v>33.576005405146866</v>
      </c>
    </row>
    <row r="38" spans="1:2" x14ac:dyDescent="0.35">
      <c r="A38">
        <f t="shared" si="1"/>
        <v>1.9600000000000009</v>
      </c>
      <c r="B38">
        <f t="shared" si="0"/>
        <v>26.654012231978548</v>
      </c>
    </row>
    <row r="39" spans="1:2" x14ac:dyDescent="0.35">
      <c r="A39">
        <f t="shared" si="1"/>
        <v>1.9900000000000009</v>
      </c>
      <c r="B39">
        <f t="shared" si="0"/>
        <v>17.710837456347765</v>
      </c>
    </row>
    <row r="40" spans="1:2" x14ac:dyDescent="0.35">
      <c r="A40">
        <f t="shared" si="1"/>
        <v>2.0200000000000009</v>
      </c>
      <c r="B40">
        <f t="shared" si="0"/>
        <v>7.6132517285710115</v>
      </c>
    </row>
    <row r="41" spans="1:2" x14ac:dyDescent="0.35">
      <c r="A41">
        <f t="shared" si="1"/>
        <v>2.0500000000000007</v>
      </c>
      <c r="B41">
        <f t="shared" si="0"/>
        <v>-2.7107124793580901</v>
      </c>
    </row>
    <row r="42" spans="1:2" x14ac:dyDescent="0.35">
      <c r="A42">
        <f t="shared" si="1"/>
        <v>2.0800000000000005</v>
      </c>
      <c r="B42">
        <f t="shared" si="0"/>
        <v>-12.353857605883517</v>
      </c>
    </row>
    <row r="43" spans="1:2" x14ac:dyDescent="0.35">
      <c r="A43">
        <f t="shared" si="1"/>
        <v>2.1100000000000003</v>
      </c>
      <c r="B43">
        <f t="shared" si="0"/>
        <v>-20.506653232022419</v>
      </c>
    </row>
    <row r="44" spans="1:2" x14ac:dyDescent="0.35">
      <c r="A44">
        <f t="shared" si="1"/>
        <v>2.14</v>
      </c>
      <c r="B44">
        <f t="shared" si="0"/>
        <v>-26.522530518977707</v>
      </c>
    </row>
    <row r="45" spans="1:2" x14ac:dyDescent="0.35">
      <c r="A45">
        <f t="shared" si="1"/>
        <v>2.17</v>
      </c>
      <c r="B45">
        <f t="shared" si="0"/>
        <v>-29.966587188069557</v>
      </c>
    </row>
    <row r="46" spans="1:2" x14ac:dyDescent="0.35">
      <c r="A46">
        <f t="shared" si="1"/>
        <v>2.1999999999999997</v>
      </c>
      <c r="B46">
        <f t="shared" si="0"/>
        <v>-30.644247801086109</v>
      </c>
    </row>
    <row r="47" spans="1:2" x14ac:dyDescent="0.35">
      <c r="A47">
        <f t="shared" si="1"/>
        <v>2.2299999999999995</v>
      </c>
      <c r="B47">
        <f t="shared" si="0"/>
        <v>-28.608248457276751</v>
      </c>
    </row>
    <row r="48" spans="1:2" x14ac:dyDescent="0.35">
      <c r="A48">
        <f t="shared" si="1"/>
        <v>2.2599999999999993</v>
      </c>
      <c r="B48">
        <f t="shared" si="0"/>
        <v>-24.144206822060397</v>
      </c>
    </row>
    <row r="49" spans="1:2" x14ac:dyDescent="0.35">
      <c r="A49">
        <f t="shared" si="1"/>
        <v>2.2899999999999991</v>
      </c>
      <c r="B49">
        <f t="shared" si="0"/>
        <v>-17.736837237829494</v>
      </c>
    </row>
    <row r="50" spans="1:2" x14ac:dyDescent="0.35">
      <c r="A50">
        <f t="shared" si="1"/>
        <v>2.319999999999999</v>
      </c>
      <c r="B50">
        <f t="shared" si="0"/>
        <v>-10.020429506173357</v>
      </c>
    </row>
    <row r="51" spans="1:2" x14ac:dyDescent="0.35">
      <c r="A51">
        <f t="shared" si="1"/>
        <v>2.3499999999999988</v>
      </c>
      <c r="B51">
        <f t="shared" si="0"/>
        <v>-1.7184068571572968</v>
      </c>
    </row>
    <row r="52" spans="1:2" x14ac:dyDescent="0.35">
      <c r="A52">
        <f t="shared" si="1"/>
        <v>2.3799999999999986</v>
      </c>
      <c r="B52">
        <f t="shared" si="0"/>
        <v>6.4224738757228774</v>
      </c>
    </row>
    <row r="53" spans="1:2" x14ac:dyDescent="0.35">
      <c r="A53">
        <f t="shared" si="1"/>
        <v>2.4099999999999984</v>
      </c>
      <c r="B53">
        <f t="shared" si="0"/>
        <v>13.69746574076987</v>
      </c>
    </row>
    <row r="54" spans="1:2" x14ac:dyDescent="0.35">
      <c r="A54">
        <f t="shared" si="1"/>
        <v>2.4399999999999982</v>
      </c>
      <c r="B54">
        <f t="shared" si="0"/>
        <v>19.503153788077796</v>
      </c>
    </row>
    <row r="55" spans="1:2" x14ac:dyDescent="0.35">
      <c r="A55">
        <f t="shared" si="1"/>
        <v>2.469999999999998</v>
      </c>
      <c r="B55">
        <f t="shared" si="0"/>
        <v>23.385901926439782</v>
      </c>
    </row>
    <row r="56" spans="1:2" x14ac:dyDescent="0.35">
      <c r="A56">
        <f t="shared" si="1"/>
        <v>2.4999999999999978</v>
      </c>
      <c r="B56">
        <f t="shared" si="0"/>
        <v>25.07566806921551</v>
      </c>
    </row>
    <row r="57" spans="1:2" x14ac:dyDescent="0.35">
      <c r="A57">
        <f t="shared" si="1"/>
        <v>2.5299999999999976</v>
      </c>
      <c r="B57">
        <f t="shared" si="0"/>
        <v>24.502809240308789</v>
      </c>
    </row>
    <row r="58" spans="1:2" x14ac:dyDescent="0.35">
      <c r="A58">
        <f t="shared" si="1"/>
        <v>2.5599999999999974</v>
      </c>
      <c r="B58">
        <f t="shared" si="0"/>
        <v>21.797031293040135</v>
      </c>
    </row>
    <row r="59" spans="1:2" x14ac:dyDescent="0.35">
      <c r="A59">
        <f t="shared" si="1"/>
        <v>2.5899999999999972</v>
      </c>
      <c r="B59">
        <f t="shared" si="0"/>
        <v>17.269190965846626</v>
      </c>
    </row>
    <row r="60" spans="1:2" x14ac:dyDescent="0.35">
      <c r="A60">
        <f t="shared" si="1"/>
        <v>2.619999999999997</v>
      </c>
      <c r="B60">
        <f t="shared" si="0"/>
        <v>11.378099018098334</v>
      </c>
    </row>
    <row r="61" spans="1:2" x14ac:dyDescent="0.35">
      <c r="A61">
        <f t="shared" si="1"/>
        <v>2.6499999999999968</v>
      </c>
      <c r="B61">
        <f t="shared" si="0"/>
        <v>4.6856836752644604</v>
      </c>
    </row>
    <row r="62" spans="1:2" x14ac:dyDescent="0.35">
      <c r="A62">
        <f t="shared" si="1"/>
        <v>2.6799999999999966</v>
      </c>
      <c r="B62">
        <f t="shared" si="0"/>
        <v>-2.1952417043615173</v>
      </c>
    </row>
    <row r="63" spans="1:2" x14ac:dyDescent="0.35">
      <c r="A63">
        <f t="shared" si="1"/>
        <v>2.7099999999999964</v>
      </c>
      <c r="B63">
        <f t="shared" si="0"/>
        <v>-8.655868687152509</v>
      </c>
    </row>
    <row r="64" spans="1:2" x14ac:dyDescent="0.35">
      <c r="A64">
        <f t="shared" si="1"/>
        <v>2.7399999999999962</v>
      </c>
      <c r="B64">
        <f t="shared" si="0"/>
        <v>-14.144129559896534</v>
      </c>
    </row>
    <row r="65" spans="1:2" x14ac:dyDescent="0.35">
      <c r="A65">
        <f t="shared" si="1"/>
        <v>2.769999999999996</v>
      </c>
      <c r="B65">
        <f t="shared" si="0"/>
        <v>-18.210806304182274</v>
      </c>
    </row>
    <row r="66" spans="1:2" x14ac:dyDescent="0.35">
      <c r="A66">
        <f t="shared" si="1"/>
        <v>2.7999999999999958</v>
      </c>
      <c r="B66">
        <f t="shared" si="0"/>
        <v>-20.545251266626465</v>
      </c>
    </row>
    <row r="67" spans="1:2" x14ac:dyDescent="0.35">
      <c r="A67">
        <f t="shared" si="1"/>
        <v>2.8299999999999956</v>
      </c>
      <c r="B67">
        <f t="shared" si="0"/>
        <v>-20.997968764343341</v>
      </c>
    </row>
    <row r="68" spans="1:2" x14ac:dyDescent="0.35">
      <c r="A68">
        <f t="shared" si="1"/>
        <v>2.8599999999999954</v>
      </c>
      <c r="B68">
        <f t="shared" si="0"/>
        <v>-19.588521915314722</v>
      </c>
    </row>
    <row r="69" spans="1:2" x14ac:dyDescent="0.35">
      <c r="A69">
        <f t="shared" si="1"/>
        <v>2.8899999999999952</v>
      </c>
      <c r="B69">
        <f t="shared" si="0"/>
        <v>-16.498538489146338</v>
      </c>
    </row>
    <row r="70" spans="1:2" x14ac:dyDescent="0.35">
      <c r="A70">
        <f t="shared" si="1"/>
        <v>2.919999999999995</v>
      </c>
      <c r="B70">
        <f t="shared" si="0"/>
        <v>-12.050878849061908</v>
      </c>
    </row>
    <row r="71" spans="1:2" x14ac:dyDescent="0.35">
      <c r="A71">
        <f t="shared" si="1"/>
        <v>2.9499999999999948</v>
      </c>
      <c r="B71">
        <f t="shared" ref="B71:B134" si="2">100*IF($E$20,SIN(A71*$F$20/100),COS(A71*$F$20/100))/(A71^(3/2))</f>
        <v>-6.6771884781257853</v>
      </c>
    </row>
    <row r="72" spans="1:2" x14ac:dyDescent="0.35">
      <c r="A72">
        <f t="shared" ref="A72:A135" si="3">A71+$B$4</f>
        <v>2.9799999999999947</v>
      </c>
      <c r="B72">
        <f t="shared" si="2"/>
        <v>-0.87699176589172978</v>
      </c>
    </row>
    <row r="73" spans="1:2" x14ac:dyDescent="0.35">
      <c r="A73">
        <f t="shared" si="3"/>
        <v>3.0099999999999945</v>
      </c>
      <c r="B73">
        <f t="shared" si="2"/>
        <v>4.827880759008031</v>
      </c>
    </row>
    <row r="74" spans="1:2" x14ac:dyDescent="0.35">
      <c r="A74">
        <f t="shared" si="3"/>
        <v>3.0399999999999943</v>
      </c>
      <c r="B74">
        <f t="shared" si="2"/>
        <v>9.9394485739502514</v>
      </c>
    </row>
    <row r="75" spans="1:2" x14ac:dyDescent="0.35">
      <c r="A75">
        <f t="shared" si="3"/>
        <v>3.0699999999999941</v>
      </c>
      <c r="B75">
        <f t="shared" si="2"/>
        <v>14.026306147831475</v>
      </c>
    </row>
    <row r="76" spans="1:2" x14ac:dyDescent="0.35">
      <c r="A76">
        <f t="shared" si="3"/>
        <v>3.0999999999999939</v>
      </c>
      <c r="B76">
        <f t="shared" si="2"/>
        <v>16.759314432326907</v>
      </c>
    </row>
    <row r="77" spans="1:2" x14ac:dyDescent="0.35">
      <c r="A77">
        <f t="shared" si="3"/>
        <v>3.1299999999999937</v>
      </c>
      <c r="B77">
        <f t="shared" si="2"/>
        <v>17.937367265599431</v>
      </c>
    </row>
    <row r="78" spans="1:2" x14ac:dyDescent="0.35">
      <c r="A78">
        <f t="shared" si="3"/>
        <v>3.1599999999999935</v>
      </c>
      <c r="B78">
        <f t="shared" si="2"/>
        <v>17.501281019518434</v>
      </c>
    </row>
    <row r="79" spans="1:2" x14ac:dyDescent="0.35">
      <c r="A79">
        <f t="shared" si="3"/>
        <v>3.1899999999999933</v>
      </c>
      <c r="B79">
        <f t="shared" si="2"/>
        <v>15.534937820640421</v>
      </c>
    </row>
    <row r="80" spans="1:2" x14ac:dyDescent="0.35">
      <c r="A80">
        <f t="shared" si="3"/>
        <v>3.2199999999999931</v>
      </c>
      <c r="B80">
        <f t="shared" si="2"/>
        <v>12.253939809542711</v>
      </c>
    </row>
    <row r="81" spans="1:2" x14ac:dyDescent="0.35">
      <c r="A81">
        <f t="shared" si="3"/>
        <v>3.2499999999999929</v>
      </c>
      <c r="B81">
        <f t="shared" si="2"/>
        <v>7.9831059558730741</v>
      </c>
    </row>
    <row r="82" spans="1:2" x14ac:dyDescent="0.35">
      <c r="A82">
        <f t="shared" si="3"/>
        <v>3.2799999999999927</v>
      </c>
      <c r="B82">
        <f t="shared" si="2"/>
        <v>3.1250728671995209</v>
      </c>
    </row>
    <row r="83" spans="1:2" x14ac:dyDescent="0.35">
      <c r="A83">
        <f t="shared" si="3"/>
        <v>3.3099999999999925</v>
      </c>
      <c r="B83">
        <f t="shared" si="2"/>
        <v>-1.8770294507501923</v>
      </c>
    </row>
    <row r="84" spans="1:2" x14ac:dyDescent="0.35">
      <c r="A84">
        <f t="shared" si="3"/>
        <v>3.3399999999999923</v>
      </c>
      <c r="B84">
        <f t="shared" si="2"/>
        <v>-6.5794221366705754</v>
      </c>
    </row>
    <row r="85" spans="1:2" x14ac:dyDescent="0.35">
      <c r="A85">
        <f t="shared" si="3"/>
        <v>3.3699999999999921</v>
      </c>
      <c r="B85">
        <f t="shared" si="2"/>
        <v>-10.576509696542161</v>
      </c>
    </row>
    <row r="86" spans="1:2" x14ac:dyDescent="0.35">
      <c r="A86">
        <f t="shared" si="3"/>
        <v>3.3999999999999919</v>
      </c>
      <c r="B86">
        <f t="shared" si="2"/>
        <v>-13.535348397082217</v>
      </c>
    </row>
    <row r="87" spans="1:2" x14ac:dyDescent="0.35">
      <c r="A87">
        <f t="shared" si="3"/>
        <v>3.4299999999999917</v>
      </c>
      <c r="B87">
        <f t="shared" si="2"/>
        <v>-15.222865817260297</v>
      </c>
    </row>
    <row r="88" spans="1:2" x14ac:dyDescent="0.35">
      <c r="A88">
        <f t="shared" si="3"/>
        <v>3.4599999999999915</v>
      </c>
      <c r="B88">
        <f t="shared" si="2"/>
        <v>-15.52365083389425</v>
      </c>
    </row>
    <row r="89" spans="1:2" x14ac:dyDescent="0.35">
      <c r="A89">
        <f t="shared" si="3"/>
        <v>3.4899999999999913</v>
      </c>
      <c r="B89">
        <f t="shared" si="2"/>
        <v>-14.447008504320921</v>
      </c>
    </row>
    <row r="90" spans="1:2" x14ac:dyDescent="0.35">
      <c r="A90">
        <f t="shared" si="3"/>
        <v>3.5199999999999911</v>
      </c>
      <c r="B90">
        <f t="shared" si="2"/>
        <v>-12.122940431746997</v>
      </c>
    </row>
    <row r="91" spans="1:2" x14ac:dyDescent="0.35">
      <c r="A91">
        <f t="shared" si="3"/>
        <v>3.5499999999999909</v>
      </c>
      <c r="B91">
        <f t="shared" si="2"/>
        <v>-8.7876824269820872</v>
      </c>
    </row>
    <row r="92" spans="1:2" x14ac:dyDescent="0.35">
      <c r="A92">
        <f t="shared" si="3"/>
        <v>3.5799999999999907</v>
      </c>
      <c r="B92">
        <f t="shared" si="2"/>
        <v>-4.7603234502893121</v>
      </c>
    </row>
    <row r="93" spans="1:2" x14ac:dyDescent="0.35">
      <c r="A93">
        <f t="shared" si="3"/>
        <v>3.6099999999999905</v>
      </c>
      <c r="B93">
        <f t="shared" si="2"/>
        <v>-0.41276764377329339</v>
      </c>
    </row>
    <row r="94" spans="1:2" x14ac:dyDescent="0.35">
      <c r="A94">
        <f t="shared" si="3"/>
        <v>3.6399999999999904</v>
      </c>
      <c r="B94">
        <f t="shared" si="2"/>
        <v>3.8641753814051483</v>
      </c>
    </row>
    <row r="95" spans="1:2" x14ac:dyDescent="0.35">
      <c r="A95">
        <f t="shared" si="3"/>
        <v>3.6699999999999902</v>
      </c>
      <c r="B95">
        <f t="shared" si="2"/>
        <v>7.6955181052010326</v>
      </c>
    </row>
    <row r="96" spans="1:2" x14ac:dyDescent="0.35">
      <c r="A96">
        <f t="shared" si="3"/>
        <v>3.69999999999999</v>
      </c>
      <c r="B96">
        <f t="shared" si="2"/>
        <v>10.75458966790911</v>
      </c>
    </row>
    <row r="97" spans="1:2" x14ac:dyDescent="0.35">
      <c r="A97">
        <f t="shared" si="3"/>
        <v>3.7299999999999898</v>
      </c>
      <c r="B97">
        <f t="shared" si="2"/>
        <v>12.790514715320322</v>
      </c>
    </row>
    <row r="98" spans="1:2" x14ac:dyDescent="0.35">
      <c r="A98">
        <f t="shared" si="3"/>
        <v>3.7599999999999896</v>
      </c>
      <c r="B98">
        <f t="shared" si="2"/>
        <v>13.648397409452203</v>
      </c>
    </row>
    <row r="99" spans="1:2" x14ac:dyDescent="0.35">
      <c r="A99">
        <f t="shared" si="3"/>
        <v>3.7899999999999894</v>
      </c>
      <c r="B99">
        <f t="shared" si="2"/>
        <v>13.280621402431239</v>
      </c>
    </row>
    <row r="100" spans="1:2" x14ac:dyDescent="0.35">
      <c r="A100">
        <f t="shared" si="3"/>
        <v>3.8199999999999892</v>
      </c>
      <c r="B100">
        <f t="shared" si="2"/>
        <v>11.748488534929516</v>
      </c>
    </row>
    <row r="101" spans="1:2" x14ac:dyDescent="0.35">
      <c r="A101">
        <f t="shared" si="3"/>
        <v>3.849999999999989</v>
      </c>
      <c r="B101">
        <f t="shared" si="2"/>
        <v>9.2142797095609961</v>
      </c>
    </row>
    <row r="102" spans="1:2" x14ac:dyDescent="0.35">
      <c r="A102">
        <f t="shared" si="3"/>
        <v>3.8799999999999888</v>
      </c>
      <c r="B102">
        <f t="shared" si="2"/>
        <v>5.9246549213789228</v>
      </c>
    </row>
    <row r="103" spans="1:2" x14ac:dyDescent="0.35">
      <c r="A103">
        <f t="shared" si="3"/>
        <v>3.9099999999999886</v>
      </c>
      <c r="B103">
        <f t="shared" si="2"/>
        <v>2.1870439925799645</v>
      </c>
    </row>
    <row r="104" spans="1:2" x14ac:dyDescent="0.35">
      <c r="A104">
        <f t="shared" si="3"/>
        <v>3.9399999999999884</v>
      </c>
      <c r="B104">
        <f t="shared" si="2"/>
        <v>-1.6587464531908622</v>
      </c>
    </row>
    <row r="105" spans="1:2" x14ac:dyDescent="0.35">
      <c r="A105">
        <f t="shared" si="3"/>
        <v>3.9699999999999882</v>
      </c>
      <c r="B105">
        <f t="shared" si="2"/>
        <v>-5.2711171296049848</v>
      </c>
    </row>
    <row r="106" spans="1:2" x14ac:dyDescent="0.35">
      <c r="A106">
        <f t="shared" si="3"/>
        <v>3.999999999999988</v>
      </c>
      <c r="B106">
        <f t="shared" si="2"/>
        <v>-8.3367257706521833</v>
      </c>
    </row>
    <row r="107" spans="1:2" x14ac:dyDescent="0.35">
      <c r="A107">
        <f t="shared" si="3"/>
        <v>4.0299999999999878</v>
      </c>
      <c r="B107">
        <f t="shared" si="2"/>
        <v>-10.59738443336194</v>
      </c>
    </row>
    <row r="108" spans="1:2" x14ac:dyDescent="0.35">
      <c r="A108">
        <f t="shared" si="3"/>
        <v>4.0599999999999881</v>
      </c>
      <c r="B108">
        <f t="shared" si="2"/>
        <v>-11.871520043591484</v>
      </c>
    </row>
    <row r="109" spans="1:2" x14ac:dyDescent="0.35">
      <c r="A109">
        <f t="shared" si="3"/>
        <v>4.0899999999999883</v>
      </c>
      <c r="B109">
        <f t="shared" si="2"/>
        <v>-12.068439284666628</v>
      </c>
    </row>
    <row r="110" spans="1:2" x14ac:dyDescent="0.35">
      <c r="A110">
        <f t="shared" si="3"/>
        <v>4.1199999999999886</v>
      </c>
      <c r="B110">
        <f t="shared" si="2"/>
        <v>-11.194306407157516</v>
      </c>
    </row>
    <row r="111" spans="1:2" x14ac:dyDescent="0.35">
      <c r="A111">
        <f t="shared" si="3"/>
        <v>4.1499999999999888</v>
      </c>
      <c r="B111">
        <f t="shared" si="2"/>
        <v>-9.349490813269199</v>
      </c>
    </row>
    <row r="112" spans="1:2" x14ac:dyDescent="0.35">
      <c r="A112">
        <f t="shared" si="3"/>
        <v>4.1799999999999891</v>
      </c>
      <c r="B112">
        <f t="shared" si="2"/>
        <v>-6.7177034096589123</v>
      </c>
    </row>
    <row r="113" spans="1:2" x14ac:dyDescent="0.35">
      <c r="A113">
        <f t="shared" si="3"/>
        <v>4.2099999999999893</v>
      </c>
      <c r="B113">
        <f t="shared" si="2"/>
        <v>-3.5480500039140916</v>
      </c>
    </row>
    <row r="114" spans="1:2" x14ac:dyDescent="0.35">
      <c r="A114">
        <f t="shared" si="3"/>
        <v>4.2399999999999896</v>
      </c>
      <c r="B114">
        <f t="shared" si="2"/>
        <v>-0.13172571913224038</v>
      </c>
    </row>
    <row r="115" spans="1:2" x14ac:dyDescent="0.35">
      <c r="A115">
        <f t="shared" si="3"/>
        <v>4.2699999999999898</v>
      </c>
      <c r="B115">
        <f t="shared" si="2"/>
        <v>3.2244930509693228</v>
      </c>
    </row>
    <row r="116" spans="1:2" x14ac:dyDescent="0.35">
      <c r="A116">
        <f t="shared" si="3"/>
        <v>4.2999999999999901</v>
      </c>
      <c r="B116">
        <f t="shared" si="2"/>
        <v>6.2255675616186608</v>
      </c>
    </row>
    <row r="117" spans="1:2" x14ac:dyDescent="0.35">
      <c r="A117">
        <f t="shared" si="3"/>
        <v>4.3299999999999903</v>
      </c>
      <c r="B117">
        <f t="shared" si="2"/>
        <v>8.6139137747338719</v>
      </c>
    </row>
    <row r="118" spans="1:2" x14ac:dyDescent="0.35">
      <c r="A118">
        <f t="shared" si="3"/>
        <v>4.3599999999999905</v>
      </c>
      <c r="B118">
        <f t="shared" si="2"/>
        <v>10.191295027704276</v>
      </c>
    </row>
    <row r="119" spans="1:2" x14ac:dyDescent="0.35">
      <c r="A119">
        <f t="shared" si="3"/>
        <v>4.3899999999999908</v>
      </c>
      <c r="B119">
        <f t="shared" si="2"/>
        <v>10.835048436771048</v>
      </c>
    </row>
    <row r="120" spans="1:2" x14ac:dyDescent="0.35">
      <c r="A120">
        <f t="shared" si="3"/>
        <v>4.419999999999991</v>
      </c>
      <c r="B120">
        <f t="shared" si="2"/>
        <v>10.507337150042046</v>
      </c>
    </row>
    <row r="121" spans="1:2" x14ac:dyDescent="0.35">
      <c r="A121">
        <f t="shared" si="3"/>
        <v>4.4499999999999913</v>
      </c>
      <c r="B121">
        <f t="shared" si="2"/>
        <v>9.2567581685294584</v>
      </c>
    </row>
    <row r="122" spans="1:2" x14ac:dyDescent="0.35">
      <c r="A122">
        <f t="shared" si="3"/>
        <v>4.4799999999999915</v>
      </c>
      <c r="B122">
        <f t="shared" si="2"/>
        <v>7.2123188926997814</v>
      </c>
    </row>
    <row r="123" spans="1:2" x14ac:dyDescent="0.35">
      <c r="A123">
        <f t="shared" si="3"/>
        <v>4.5099999999999918</v>
      </c>
      <c r="B123">
        <f t="shared" si="2"/>
        <v>4.5704641950455835</v>
      </c>
    </row>
    <row r="124" spans="1:2" x14ac:dyDescent="0.35">
      <c r="A124">
        <f t="shared" si="3"/>
        <v>4.539999999999992</v>
      </c>
      <c r="B124">
        <f t="shared" si="2"/>
        <v>1.5764315179443003</v>
      </c>
    </row>
    <row r="125" spans="1:2" x14ac:dyDescent="0.35">
      <c r="A125">
        <f t="shared" si="3"/>
        <v>4.5699999999999923</v>
      </c>
      <c r="B125">
        <f t="shared" si="2"/>
        <v>-1.4983163938524375</v>
      </c>
    </row>
    <row r="126" spans="1:2" x14ac:dyDescent="0.35">
      <c r="A126">
        <f t="shared" si="3"/>
        <v>4.5999999999999925</v>
      </c>
      <c r="B126">
        <f t="shared" si="2"/>
        <v>-4.3805218654392863</v>
      </c>
    </row>
    <row r="127" spans="1:2" x14ac:dyDescent="0.35">
      <c r="A127">
        <f t="shared" si="3"/>
        <v>4.6299999999999928</v>
      </c>
      <c r="B127">
        <f t="shared" si="2"/>
        <v>-6.8192432473807578</v>
      </c>
    </row>
    <row r="128" spans="1:2" x14ac:dyDescent="0.35">
      <c r="A128">
        <f t="shared" si="3"/>
        <v>4.659999999999993</v>
      </c>
      <c r="B128">
        <f t="shared" si="2"/>
        <v>-8.607534254615727</v>
      </c>
    </row>
    <row r="129" spans="1:2" x14ac:dyDescent="0.35">
      <c r="A129">
        <f t="shared" si="3"/>
        <v>4.6899999999999933</v>
      </c>
      <c r="B129">
        <f t="shared" si="2"/>
        <v>-9.5998335318821741</v>
      </c>
    </row>
    <row r="130" spans="1:2" x14ac:dyDescent="0.35">
      <c r="A130">
        <f t="shared" si="3"/>
        <v>4.7199999999999935</v>
      </c>
      <c r="B130">
        <f t="shared" si="2"/>
        <v>-9.7236183258137476</v>
      </c>
    </row>
    <row r="131" spans="1:2" x14ac:dyDescent="0.35">
      <c r="A131">
        <f t="shared" si="3"/>
        <v>4.7499999999999938</v>
      </c>
      <c r="B131">
        <f t="shared" si="2"/>
        <v>-8.9844071198866544</v>
      </c>
    </row>
    <row r="132" spans="1:2" x14ac:dyDescent="0.35">
      <c r="A132">
        <f t="shared" si="3"/>
        <v>4.779999999999994</v>
      </c>
      <c r="B132">
        <f t="shared" si="2"/>
        <v>-7.4637972814091418</v>
      </c>
    </row>
    <row r="133" spans="1:2" x14ac:dyDescent="0.35">
      <c r="A133">
        <f t="shared" si="3"/>
        <v>4.8099999999999943</v>
      </c>
      <c r="B133">
        <f t="shared" si="2"/>
        <v>-5.3108412238766345</v>
      </c>
    </row>
    <row r="134" spans="1:2" x14ac:dyDescent="0.35">
      <c r="A134">
        <f t="shared" si="3"/>
        <v>4.8399999999999945</v>
      </c>
      <c r="B134">
        <f t="shared" si="2"/>
        <v>-2.7276439231152785</v>
      </c>
    </row>
    <row r="135" spans="1:2" x14ac:dyDescent="0.35">
      <c r="A135">
        <f t="shared" si="3"/>
        <v>4.8699999999999948</v>
      </c>
      <c r="B135">
        <f t="shared" ref="B135:B198" si="4">100*IF($E$20,SIN(A135*$F$20/100),COS(A135*$F$20/100))/(A135^(3/2))</f>
        <v>4.9444203743573223E-2</v>
      </c>
    </row>
    <row r="136" spans="1:2" x14ac:dyDescent="0.35">
      <c r="A136">
        <f t="shared" ref="A136:A199" si="5">A135+$B$4</f>
        <v>4.899999999999995</v>
      </c>
      <c r="B136">
        <f t="shared" si="4"/>
        <v>2.7713034574156348</v>
      </c>
    </row>
    <row r="137" spans="1:2" x14ac:dyDescent="0.35">
      <c r="A137">
        <f t="shared" si="5"/>
        <v>4.9299999999999953</v>
      </c>
      <c r="B137">
        <f t="shared" si="4"/>
        <v>5.1982517681369096</v>
      </c>
    </row>
    <row r="138" spans="1:2" x14ac:dyDescent="0.35">
      <c r="A138">
        <f t="shared" si="5"/>
        <v>4.9599999999999955</v>
      </c>
      <c r="B138">
        <f t="shared" si="4"/>
        <v>7.1210151744686501</v>
      </c>
    </row>
    <row r="139" spans="1:2" x14ac:dyDescent="0.35">
      <c r="A139">
        <f t="shared" si="5"/>
        <v>4.9899999999999958</v>
      </c>
      <c r="B139">
        <f t="shared" si="4"/>
        <v>8.3786389714056853</v>
      </c>
    </row>
    <row r="140" spans="1:2" x14ac:dyDescent="0.35">
      <c r="A140">
        <f t="shared" si="5"/>
        <v>5.019999999999996</v>
      </c>
      <c r="B140">
        <f t="shared" si="4"/>
        <v>8.8718183503487307</v>
      </c>
    </row>
    <row r="141" spans="1:2" x14ac:dyDescent="0.35">
      <c r="A141">
        <f t="shared" si="5"/>
        <v>5.0499999999999963</v>
      </c>
      <c r="B141">
        <f t="shared" si="4"/>
        <v>8.5705572431378076</v>
      </c>
    </row>
    <row r="142" spans="1:2" x14ac:dyDescent="0.35">
      <c r="A142">
        <f t="shared" si="5"/>
        <v>5.0799999999999965</v>
      </c>
      <c r="B142">
        <f t="shared" si="4"/>
        <v>7.5155821665419023</v>
      </c>
    </row>
    <row r="143" spans="1:2" x14ac:dyDescent="0.35">
      <c r="A143">
        <f t="shared" si="5"/>
        <v>5.1099999999999968</v>
      </c>
      <c r="B143">
        <f t="shared" si="4"/>
        <v>5.8134971420493065</v>
      </c>
    </row>
    <row r="144" spans="1:2" x14ac:dyDescent="0.35">
      <c r="A144">
        <f t="shared" si="5"/>
        <v>5.139999999999997</v>
      </c>
      <c r="B144">
        <f t="shared" si="4"/>
        <v>3.626216448618047</v>
      </c>
    </row>
    <row r="145" spans="1:2" x14ac:dyDescent="0.35">
      <c r="A145">
        <f t="shared" si="5"/>
        <v>5.1699999999999973</v>
      </c>
      <c r="B145">
        <f t="shared" si="4"/>
        <v>1.1557058808787029</v>
      </c>
    </row>
    <row r="146" spans="1:2" x14ac:dyDescent="0.35">
      <c r="A146">
        <f t="shared" si="5"/>
        <v>5.1999999999999975</v>
      </c>
      <c r="B146">
        <f t="shared" si="4"/>
        <v>-1.3745420324034918</v>
      </c>
    </row>
    <row r="147" spans="1:2" x14ac:dyDescent="0.35">
      <c r="A147">
        <f t="shared" si="5"/>
        <v>5.2299999999999978</v>
      </c>
      <c r="B147">
        <f t="shared" si="4"/>
        <v>-3.7396106908300819</v>
      </c>
    </row>
    <row r="148" spans="1:2" x14ac:dyDescent="0.35">
      <c r="A148">
        <f t="shared" si="5"/>
        <v>5.259999999999998</v>
      </c>
      <c r="B148">
        <f t="shared" si="4"/>
        <v>-5.733041982822578</v>
      </c>
    </row>
    <row r="149" spans="1:2" x14ac:dyDescent="0.35">
      <c r="A149">
        <f t="shared" si="5"/>
        <v>5.2899999999999983</v>
      </c>
      <c r="B149">
        <f t="shared" si="4"/>
        <v>-7.1847508564568159</v>
      </c>
    </row>
    <row r="150" spans="1:2" x14ac:dyDescent="0.35">
      <c r="A150">
        <f t="shared" si="5"/>
        <v>5.3199999999999985</v>
      </c>
      <c r="B150">
        <f t="shared" si="4"/>
        <v>-7.97542692124137</v>
      </c>
    </row>
    <row r="151" spans="1:2" x14ac:dyDescent="0.35">
      <c r="A151">
        <f t="shared" si="5"/>
        <v>5.3499999999999988</v>
      </c>
      <c r="B151">
        <f t="shared" si="4"/>
        <v>-8.0462134278498532</v>
      </c>
    </row>
    <row r="152" spans="1:2" x14ac:dyDescent="0.35">
      <c r="A152">
        <f t="shared" si="5"/>
        <v>5.379999999999999</v>
      </c>
      <c r="B152">
        <f t="shared" si="4"/>
        <v>-7.402890044429383</v>
      </c>
    </row>
    <row r="153" spans="1:2" x14ac:dyDescent="0.35">
      <c r="A153">
        <f t="shared" si="5"/>
        <v>5.4099999999999993</v>
      </c>
      <c r="B153">
        <f t="shared" si="4"/>
        <v>-6.1142826763909621</v>
      </c>
    </row>
    <row r="154" spans="1:2" x14ac:dyDescent="0.35">
      <c r="A154">
        <f t="shared" si="5"/>
        <v>5.4399999999999995</v>
      </c>
      <c r="B154">
        <f t="shared" si="4"/>
        <v>-4.3051365007856361</v>
      </c>
    </row>
    <row r="155" spans="1:2" x14ac:dyDescent="0.35">
      <c r="A155">
        <f t="shared" si="5"/>
        <v>5.47</v>
      </c>
      <c r="B155">
        <f t="shared" si="4"/>
        <v>-2.144172066561044</v>
      </c>
    </row>
    <row r="156" spans="1:2" x14ac:dyDescent="0.35">
      <c r="A156">
        <f t="shared" si="5"/>
        <v>5.5</v>
      </c>
      <c r="B156">
        <f t="shared" si="4"/>
        <v>0.17154328311545275</v>
      </c>
    </row>
    <row r="157" spans="1:2" x14ac:dyDescent="0.35">
      <c r="A157">
        <f t="shared" si="5"/>
        <v>5.53</v>
      </c>
      <c r="B157">
        <f t="shared" si="4"/>
        <v>2.4344703698448997</v>
      </c>
    </row>
    <row r="158" spans="1:2" x14ac:dyDescent="0.35">
      <c r="A158">
        <f t="shared" si="5"/>
        <v>5.5600000000000005</v>
      </c>
      <c r="B158">
        <f t="shared" si="4"/>
        <v>4.4451067279805869</v>
      </c>
    </row>
    <row r="159" spans="1:2" x14ac:dyDescent="0.35">
      <c r="A159">
        <f t="shared" si="5"/>
        <v>5.5900000000000007</v>
      </c>
      <c r="B159">
        <f t="shared" si="4"/>
        <v>6.0294862191222585</v>
      </c>
    </row>
    <row r="160" spans="1:2" x14ac:dyDescent="0.35">
      <c r="A160">
        <f t="shared" si="5"/>
        <v>5.620000000000001</v>
      </c>
      <c r="B160">
        <f t="shared" si="4"/>
        <v>7.0541425176993018</v>
      </c>
    </row>
    <row r="161" spans="1:2" x14ac:dyDescent="0.35">
      <c r="A161">
        <f t="shared" si="5"/>
        <v>5.6500000000000012</v>
      </c>
      <c r="B161">
        <f t="shared" si="4"/>
        <v>7.4372571987730911</v>
      </c>
    </row>
    <row r="162" spans="1:2" x14ac:dyDescent="0.35">
      <c r="A162">
        <f t="shared" si="5"/>
        <v>5.6800000000000015</v>
      </c>
      <c r="B162">
        <f t="shared" si="4"/>
        <v>7.1550697729684085</v>
      </c>
    </row>
    <row r="163" spans="1:2" x14ac:dyDescent="0.35">
      <c r="A163">
        <f t="shared" si="5"/>
        <v>5.7100000000000017</v>
      </c>
      <c r="B163">
        <f t="shared" si="4"/>
        <v>6.2430592270964445</v>
      </c>
    </row>
    <row r="164" spans="1:2" x14ac:dyDescent="0.35">
      <c r="A164">
        <f t="shared" si="5"/>
        <v>5.740000000000002</v>
      </c>
      <c r="B164">
        <f t="shared" si="4"/>
        <v>4.7918752290498476</v>
      </c>
    </row>
    <row r="165" spans="1:2" x14ac:dyDescent="0.35">
      <c r="A165">
        <f t="shared" si="5"/>
        <v>5.7700000000000022</v>
      </c>
      <c r="B165">
        <f t="shared" si="4"/>
        <v>2.9384603414274451</v>
      </c>
    </row>
    <row r="166" spans="1:2" x14ac:dyDescent="0.35">
      <c r="A166">
        <f t="shared" si="5"/>
        <v>5.8000000000000025</v>
      </c>
      <c r="B166">
        <f t="shared" si="4"/>
        <v>0.85322168425677358</v>
      </c>
    </row>
    <row r="167" spans="1:2" x14ac:dyDescent="0.35">
      <c r="A167">
        <f t="shared" si="5"/>
        <v>5.8300000000000027</v>
      </c>
      <c r="B167">
        <f t="shared" si="4"/>
        <v>-1.2755545020176917</v>
      </c>
    </row>
    <row r="168" spans="1:2" x14ac:dyDescent="0.35">
      <c r="A168">
        <f t="shared" si="5"/>
        <v>5.860000000000003</v>
      </c>
      <c r="B168">
        <f t="shared" si="4"/>
        <v>-3.2586272400598051</v>
      </c>
    </row>
    <row r="169" spans="1:2" x14ac:dyDescent="0.35">
      <c r="A169">
        <f t="shared" si="5"/>
        <v>5.8900000000000032</v>
      </c>
      <c r="B169">
        <f t="shared" si="4"/>
        <v>-4.9225496896532945</v>
      </c>
    </row>
    <row r="170" spans="1:2" x14ac:dyDescent="0.35">
      <c r="A170">
        <f t="shared" si="5"/>
        <v>5.9200000000000035</v>
      </c>
      <c r="B170">
        <f t="shared" si="4"/>
        <v>-6.1247666738816342</v>
      </c>
    </row>
    <row r="171" spans="1:2" x14ac:dyDescent="0.35">
      <c r="A171">
        <f t="shared" si="5"/>
        <v>5.9500000000000037</v>
      </c>
      <c r="B171">
        <f t="shared" si="4"/>
        <v>-6.7657531108082809</v>
      </c>
    </row>
    <row r="172" spans="1:2" x14ac:dyDescent="0.35">
      <c r="A172">
        <f t="shared" si="5"/>
        <v>5.980000000000004</v>
      </c>
      <c r="B172">
        <f t="shared" si="4"/>
        <v>-6.7971664137695056</v>
      </c>
    </row>
    <row r="173" spans="1:2" x14ac:dyDescent="0.35">
      <c r="A173">
        <f t="shared" si="5"/>
        <v>6.0100000000000042</v>
      </c>
      <c r="B173">
        <f t="shared" si="4"/>
        <v>-6.2253530283628633</v>
      </c>
    </row>
    <row r="174" spans="1:2" x14ac:dyDescent="0.35">
      <c r="A174">
        <f t="shared" si="5"/>
        <v>6.0400000000000045</v>
      </c>
      <c r="B174">
        <f t="shared" si="4"/>
        <v>-5.1099690514257077</v>
      </c>
    </row>
    <row r="175" spans="1:2" x14ac:dyDescent="0.35">
      <c r="A175">
        <f t="shared" si="5"/>
        <v>6.0700000000000047</v>
      </c>
      <c r="B175">
        <f t="shared" si="4"/>
        <v>-3.557909567074232</v>
      </c>
    </row>
    <row r="176" spans="1:2" x14ac:dyDescent="0.35">
      <c r="A176">
        <f t="shared" si="5"/>
        <v>6.100000000000005</v>
      </c>
      <c r="B176">
        <f t="shared" si="4"/>
        <v>-1.7131524226494363</v>
      </c>
    </row>
    <row r="177" spans="1:2" x14ac:dyDescent="0.35">
      <c r="A177">
        <f t="shared" si="5"/>
        <v>6.1300000000000052</v>
      </c>
      <c r="B177">
        <f t="shared" si="4"/>
        <v>0.25652621753537203</v>
      </c>
    </row>
    <row r="178" spans="1:2" x14ac:dyDescent="0.35">
      <c r="A178">
        <f t="shared" si="5"/>
        <v>6.1600000000000055</v>
      </c>
      <c r="B178">
        <f t="shared" si="4"/>
        <v>2.1747451704193521</v>
      </c>
    </row>
    <row r="179" spans="1:2" x14ac:dyDescent="0.35">
      <c r="A179">
        <f t="shared" si="5"/>
        <v>6.1900000000000057</v>
      </c>
      <c r="B179">
        <f t="shared" si="4"/>
        <v>3.8722503484517672</v>
      </c>
    </row>
    <row r="180" spans="1:2" x14ac:dyDescent="0.35">
      <c r="A180">
        <f t="shared" si="5"/>
        <v>6.220000000000006</v>
      </c>
      <c r="B180">
        <f t="shared" si="4"/>
        <v>5.2017880162973071</v>
      </c>
    </row>
    <row r="181" spans="1:2" x14ac:dyDescent="0.35">
      <c r="A181">
        <f t="shared" si="5"/>
        <v>6.2500000000000062</v>
      </c>
      <c r="B181">
        <f t="shared" si="4"/>
        <v>6.0508175653142473</v>
      </c>
    </row>
    <row r="182" spans="1:2" x14ac:dyDescent="0.35">
      <c r="A182">
        <f t="shared" si="5"/>
        <v>6.2800000000000065</v>
      </c>
      <c r="B182">
        <f t="shared" si="4"/>
        <v>6.3509716717131814</v>
      </c>
    </row>
    <row r="183" spans="1:2" x14ac:dyDescent="0.35">
      <c r="A183">
        <f t="shared" si="5"/>
        <v>6.3100000000000067</v>
      </c>
      <c r="B183">
        <f t="shared" si="4"/>
        <v>6.0834745455002537</v>
      </c>
    </row>
    <row r="184" spans="1:2" x14ac:dyDescent="0.35">
      <c r="A184">
        <f t="shared" si="5"/>
        <v>6.340000000000007</v>
      </c>
      <c r="B184">
        <f t="shared" si="4"/>
        <v>5.2800971401127637</v>
      </c>
    </row>
    <row r="185" spans="1:2" x14ac:dyDescent="0.35">
      <c r="A185">
        <f t="shared" si="5"/>
        <v>6.3700000000000072</v>
      </c>
      <c r="B185">
        <f t="shared" si="4"/>
        <v>4.0196282897849871</v>
      </c>
    </row>
    <row r="186" spans="1:2" x14ac:dyDescent="0.35">
      <c r="A186">
        <f t="shared" si="5"/>
        <v>6.4000000000000075</v>
      </c>
      <c r="B186">
        <f t="shared" si="4"/>
        <v>2.4202370425050974</v>
      </c>
    </row>
    <row r="187" spans="1:2" x14ac:dyDescent="0.35">
      <c r="A187">
        <f t="shared" si="5"/>
        <v>6.4300000000000077</v>
      </c>
      <c r="B187">
        <f t="shared" si="4"/>
        <v>0.62845906595489331</v>
      </c>
    </row>
    <row r="188" spans="1:2" x14ac:dyDescent="0.35">
      <c r="A188">
        <f t="shared" si="5"/>
        <v>6.460000000000008</v>
      </c>
      <c r="B188">
        <f t="shared" si="4"/>
        <v>-1.1941720759557981</v>
      </c>
    </row>
    <row r="189" spans="1:2" x14ac:dyDescent="0.35">
      <c r="A189">
        <f t="shared" si="5"/>
        <v>6.4900000000000082</v>
      </c>
      <c r="B189">
        <f t="shared" si="4"/>
        <v>-2.8856341725004464</v>
      </c>
    </row>
    <row r="190" spans="1:2" x14ac:dyDescent="0.35">
      <c r="A190">
        <f t="shared" si="5"/>
        <v>6.5200000000000085</v>
      </c>
      <c r="B190">
        <f t="shared" si="4"/>
        <v>-4.2977676380411838</v>
      </c>
    </row>
    <row r="191" spans="1:2" x14ac:dyDescent="0.35">
      <c r="A191">
        <f t="shared" si="5"/>
        <v>6.5500000000000087</v>
      </c>
      <c r="B191">
        <f t="shared" si="4"/>
        <v>-5.3092021943504522</v>
      </c>
    </row>
    <row r="192" spans="1:2" x14ac:dyDescent="0.35">
      <c r="A192">
        <f t="shared" si="5"/>
        <v>6.580000000000009</v>
      </c>
      <c r="B192">
        <f t="shared" si="4"/>
        <v>-5.8357356306209072</v>
      </c>
    </row>
    <row r="193" spans="1:2" x14ac:dyDescent="0.35">
      <c r="A193">
        <f t="shared" si="5"/>
        <v>6.6100000000000092</v>
      </c>
      <c r="B193">
        <f t="shared" si="4"/>
        <v>-5.8372818115487517</v>
      </c>
    </row>
    <row r="194" spans="1:2" x14ac:dyDescent="0.35">
      <c r="A194">
        <f t="shared" si="5"/>
        <v>6.6400000000000095</v>
      </c>
      <c r="B194">
        <f t="shared" si="4"/>
        <v>-5.3208202862245209</v>
      </c>
    </row>
    <row r="195" spans="1:2" x14ac:dyDescent="0.35">
      <c r="A195">
        <f t="shared" si="5"/>
        <v>6.6700000000000097</v>
      </c>
      <c r="B195">
        <f t="shared" si="4"/>
        <v>-4.3391408870737109</v>
      </c>
    </row>
    <row r="196" spans="1:2" x14ac:dyDescent="0.35">
      <c r="A196">
        <f t="shared" si="5"/>
        <v>6.7000000000000099</v>
      </c>
      <c r="B196">
        <f t="shared" si="4"/>
        <v>-2.9855511179847283</v>
      </c>
    </row>
    <row r="197" spans="1:2" x14ac:dyDescent="0.35">
      <c r="A197">
        <f t="shared" si="5"/>
        <v>6.7300000000000102</v>
      </c>
      <c r="B197">
        <f t="shared" si="4"/>
        <v>-1.3850686892642194</v>
      </c>
    </row>
    <row r="198" spans="1:2" x14ac:dyDescent="0.35">
      <c r="A198">
        <f t="shared" si="5"/>
        <v>6.7600000000000104</v>
      </c>
      <c r="B198">
        <f t="shared" si="4"/>
        <v>0.31707476602557999</v>
      </c>
    </row>
    <row r="199" spans="1:2" x14ac:dyDescent="0.35">
      <c r="A199">
        <f t="shared" si="5"/>
        <v>6.7900000000000107</v>
      </c>
      <c r="B199">
        <f t="shared" ref="B199:B206" si="6">100*IF($E$20,SIN(A199*$F$20/100),COS(A199*$F$20/100))/(A199^(3/2))</f>
        <v>1.9685660937853366</v>
      </c>
    </row>
    <row r="200" spans="1:2" x14ac:dyDescent="0.35">
      <c r="A200">
        <f>A199+$B$4</f>
        <v>6.8200000000000109</v>
      </c>
      <c r="B200">
        <f t="shared" si="6"/>
        <v>3.4235957725433384</v>
      </c>
    </row>
    <row r="201" spans="1:2" x14ac:dyDescent="0.35">
      <c r="A201">
        <f t="shared" ref="A201:A203" si="7">A200+$B$4</f>
        <v>6.8500000000000112</v>
      </c>
      <c r="B201">
        <f t="shared" si="6"/>
        <v>4.5556880573021967</v>
      </c>
    </row>
    <row r="202" spans="1:2" x14ac:dyDescent="0.35">
      <c r="A202">
        <f t="shared" si="7"/>
        <v>6.8800000000000114</v>
      </c>
      <c r="B202">
        <f t="shared" si="6"/>
        <v>5.2686509840160811</v>
      </c>
    </row>
    <row r="203" spans="1:2" x14ac:dyDescent="0.35">
      <c r="A203">
        <f t="shared" si="7"/>
        <v>6.9100000000000117</v>
      </c>
      <c r="B203">
        <f t="shared" si="6"/>
        <v>5.5047020689880588</v>
      </c>
    </row>
    <row r="204" spans="1:2" x14ac:dyDescent="0.35">
      <c r="A204">
        <f>A203+$B$4</f>
        <v>6.9400000000000119</v>
      </c>
      <c r="B204">
        <f t="shared" si="6"/>
        <v>5.2490875721670465</v>
      </c>
    </row>
    <row r="205" spans="1:2" x14ac:dyDescent="0.35">
      <c r="A205">
        <f t="shared" ref="A205:A206" si="8">A204+$B$4</f>
        <v>6.9700000000000122</v>
      </c>
      <c r="B205">
        <f t="shared" si="6"/>
        <v>4.530832106735847</v>
      </c>
    </row>
    <row r="206" spans="1:2" x14ac:dyDescent="0.35">
      <c r="A206">
        <f t="shared" si="8"/>
        <v>7.0000000000000124</v>
      </c>
      <c r="B206">
        <f t="shared" si="6"/>
        <v>3.4196022691585584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OptionButton1">
          <controlPr defaultSize="0" autoLine="0" linkedCell="E20" r:id="rId4">
            <anchor moveWithCells="1">
              <from>
                <xdr:col>11</xdr:col>
                <xdr:colOff>438150</xdr:colOff>
                <xdr:row>2</xdr:row>
                <xdr:rowOff>107950</xdr:rowOff>
              </from>
              <to>
                <xdr:col>13</xdr:col>
                <xdr:colOff>400050</xdr:colOff>
                <xdr:row>4</xdr:row>
                <xdr:rowOff>19050</xdr:rowOff>
              </to>
            </anchor>
          </controlPr>
        </control>
      </mc:Choice>
      <mc:Fallback>
        <control shapeId="1025" r:id="rId3" name="OptionButton1"/>
      </mc:Fallback>
    </mc:AlternateContent>
    <mc:AlternateContent xmlns:mc="http://schemas.openxmlformats.org/markup-compatibility/2006">
      <mc:Choice Requires="x14">
        <control shapeId="1026" r:id="rId5" name="OptionButton2">
          <controlPr defaultSize="0" autoLine="0" linkedCell="E21" r:id="rId6">
            <anchor moveWithCells="1">
              <from>
                <xdr:col>11</xdr:col>
                <xdr:colOff>457200</xdr:colOff>
                <xdr:row>4</xdr:row>
                <xdr:rowOff>12700</xdr:rowOff>
              </from>
              <to>
                <xdr:col>13</xdr:col>
                <xdr:colOff>419100</xdr:colOff>
                <xdr:row>5</xdr:row>
                <xdr:rowOff>114300</xdr:rowOff>
              </to>
            </anchor>
          </controlPr>
        </control>
      </mc:Choice>
      <mc:Fallback>
        <control shapeId="1026" r:id="rId5" name="OptionButton2"/>
      </mc:Fallback>
    </mc:AlternateContent>
    <mc:AlternateContent xmlns:mc="http://schemas.openxmlformats.org/markup-compatibility/2006">
      <mc:Choice Requires="x14">
        <control shapeId="1027" r:id="rId7" name="ScrollBar1">
          <controlPr defaultSize="0" autoLine="0" linkedCell="F20" r:id="rId8">
            <anchor moveWithCells="1">
              <from>
                <xdr:col>11</xdr:col>
                <xdr:colOff>279400</xdr:colOff>
                <xdr:row>6</xdr:row>
                <xdr:rowOff>19050</xdr:rowOff>
              </from>
              <to>
                <xdr:col>14</xdr:col>
                <xdr:colOff>457200</xdr:colOff>
                <xdr:row>7</xdr:row>
                <xdr:rowOff>76200</xdr:rowOff>
              </to>
            </anchor>
          </controlPr>
        </control>
      </mc:Choice>
      <mc:Fallback>
        <control shapeId="1027" r:id="rId7" name="ScrollBar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BD31E-32AC-48E4-8E79-F3C66FFF9623}">
  <sheetPr codeName="Sheet3"/>
  <dimension ref="A1:G706"/>
  <sheetViews>
    <sheetView workbookViewId="0"/>
  </sheetViews>
  <sheetFormatPr defaultRowHeight="14.5" x14ac:dyDescent="0.35"/>
  <cols>
    <col min="1" max="1" width="3.453125" customWidth="1"/>
  </cols>
  <sheetData>
    <row r="1" spans="1:7" ht="15" thickBot="1" x14ac:dyDescent="0.4"/>
    <row r="2" spans="1:7" ht="15" thickBot="1" x14ac:dyDescent="0.4">
      <c r="A2" s="6" t="s">
        <v>0</v>
      </c>
      <c r="B2" s="3">
        <f>(G2-100)/100</f>
        <v>0.35</v>
      </c>
      <c r="G2" s="7">
        <v>135</v>
      </c>
    </row>
    <row r="3" spans="1:7" ht="15" thickBot="1" x14ac:dyDescent="0.4">
      <c r="A3" s="6" t="s">
        <v>1</v>
      </c>
      <c r="B3" s="4">
        <f>(G3-100)/100</f>
        <v>-0.77</v>
      </c>
      <c r="G3" s="7">
        <v>23</v>
      </c>
    </row>
    <row r="4" spans="1:7" ht="15" thickBot="1" x14ac:dyDescent="0.4">
      <c r="A4" s="6" t="s">
        <v>2</v>
      </c>
      <c r="B4" s="5">
        <f>(G4-100)/100</f>
        <v>-0.28999999999999998</v>
      </c>
      <c r="G4" s="7">
        <v>71</v>
      </c>
    </row>
    <row r="6" spans="1:7" x14ac:dyDescent="0.35">
      <c r="B6" s="8" t="s">
        <v>0</v>
      </c>
      <c r="C6" s="8" t="s">
        <v>1</v>
      </c>
      <c r="D6" s="8" t="s">
        <v>3</v>
      </c>
      <c r="E6" s="8" t="s">
        <v>4</v>
      </c>
      <c r="F6" s="8" t="s">
        <v>2</v>
      </c>
    </row>
    <row r="7" spans="1:7" x14ac:dyDescent="0.35">
      <c r="B7">
        <v>1</v>
      </c>
      <c r="C7">
        <v>1</v>
      </c>
      <c r="D7">
        <v>0</v>
      </c>
      <c r="E7">
        <f t="shared" ref="E7:E70" si="0">(B7-C7)*COS(D7)+C7*COS((B7/C7-1)*D7)</f>
        <v>1</v>
      </c>
      <c r="F7">
        <f t="shared" ref="F7:F70" si="1">(B7-C7)*SIN(D7)+C7*SIN((B7/C7-1)*D7)</f>
        <v>0</v>
      </c>
    </row>
    <row r="8" spans="1:7" x14ac:dyDescent="0.35">
      <c r="B8">
        <f t="shared" ref="B8:B71" si="2">B7+$B$2</f>
        <v>1.35</v>
      </c>
      <c r="C8">
        <f t="shared" ref="C8:C71" si="3">C7+$B$3</f>
        <v>0.22999999999999998</v>
      </c>
      <c r="D8">
        <f t="shared" ref="D8:D71" si="4">D7+$B$4</f>
        <v>-0.28999999999999998</v>
      </c>
      <c r="E8">
        <f t="shared" si="0"/>
        <v>1.1095634955568912</v>
      </c>
      <c r="F8">
        <f t="shared" si="1"/>
        <v>-0.54737903097609086</v>
      </c>
    </row>
    <row r="9" spans="1:7" x14ac:dyDescent="0.35">
      <c r="B9">
        <f t="shared" si="2"/>
        <v>1.7000000000000002</v>
      </c>
      <c r="C9">
        <f t="shared" si="3"/>
        <v>-0.54</v>
      </c>
      <c r="D9">
        <f t="shared" si="4"/>
        <v>-0.57999999999999996</v>
      </c>
      <c r="E9">
        <f t="shared" si="0"/>
        <v>2.2740234201650287</v>
      </c>
      <c r="F9">
        <f t="shared" si="1"/>
        <v>-1.589957685459304</v>
      </c>
    </row>
    <row r="10" spans="1:7" x14ac:dyDescent="0.35">
      <c r="B10">
        <f t="shared" si="2"/>
        <v>2.0500000000000003</v>
      </c>
      <c r="C10">
        <f t="shared" si="3"/>
        <v>-1.31</v>
      </c>
      <c r="D10">
        <f t="shared" si="4"/>
        <v>-0.86999999999999988</v>
      </c>
      <c r="E10">
        <f t="shared" si="0"/>
        <v>2.9704769777112077</v>
      </c>
      <c r="F10">
        <f t="shared" si="1"/>
        <v>-3.6025095045340367</v>
      </c>
    </row>
    <row r="11" spans="1:7" x14ac:dyDescent="0.35">
      <c r="B11">
        <f t="shared" si="2"/>
        <v>2.4000000000000004</v>
      </c>
      <c r="C11">
        <f t="shared" si="3"/>
        <v>-2.08</v>
      </c>
      <c r="D11">
        <f t="shared" si="4"/>
        <v>-1.1599999999999999</v>
      </c>
      <c r="E11">
        <f t="shared" si="0"/>
        <v>3.4535027299266279</v>
      </c>
      <c r="F11">
        <f t="shared" si="1"/>
        <v>-5.3546621724302792</v>
      </c>
    </row>
    <row r="12" spans="1:7" x14ac:dyDescent="0.35">
      <c r="B12">
        <f t="shared" si="2"/>
        <v>2.7500000000000004</v>
      </c>
      <c r="C12">
        <f t="shared" si="3"/>
        <v>-2.85</v>
      </c>
      <c r="D12">
        <f t="shared" si="4"/>
        <v>-1.45</v>
      </c>
      <c r="E12">
        <f t="shared" si="0"/>
        <v>3.4037893903396359</v>
      </c>
      <c r="F12">
        <f t="shared" si="1"/>
        <v>-6.3808992375564539</v>
      </c>
    </row>
    <row r="13" spans="1:7" x14ac:dyDescent="0.35">
      <c r="B13">
        <f t="shared" si="2"/>
        <v>3.1000000000000005</v>
      </c>
      <c r="C13">
        <f t="shared" si="3"/>
        <v>-3.62</v>
      </c>
      <c r="D13">
        <f t="shared" si="4"/>
        <v>-1.74</v>
      </c>
      <c r="E13">
        <f t="shared" si="0"/>
        <v>2.4742139928793021</v>
      </c>
      <c r="F13">
        <f t="shared" si="1"/>
        <v>-6.3042157973187427</v>
      </c>
    </row>
    <row r="14" spans="1:7" x14ac:dyDescent="0.35">
      <c r="B14">
        <f t="shared" si="2"/>
        <v>3.4500000000000006</v>
      </c>
      <c r="C14">
        <f t="shared" si="3"/>
        <v>-4.3900000000000006</v>
      </c>
      <c r="D14">
        <f t="shared" si="4"/>
        <v>-2.0299999999999998</v>
      </c>
      <c r="E14">
        <f t="shared" si="0"/>
        <v>0.41134572246576173</v>
      </c>
      <c r="F14">
        <f t="shared" si="1"/>
        <v>-4.9860705888096657</v>
      </c>
    </row>
    <row r="15" spans="1:7" x14ac:dyDescent="0.35">
      <c r="B15">
        <f t="shared" si="2"/>
        <v>3.8000000000000007</v>
      </c>
      <c r="C15">
        <f t="shared" si="3"/>
        <v>-5.16</v>
      </c>
      <c r="D15">
        <f t="shared" si="4"/>
        <v>-2.3199999999999998</v>
      </c>
      <c r="E15">
        <f t="shared" si="0"/>
        <v>-2.8422181189813274</v>
      </c>
      <c r="F15">
        <f t="shared" si="1"/>
        <v>-2.5610784437153633</v>
      </c>
    </row>
    <row r="16" spans="1:7" x14ac:dyDescent="0.35">
      <c r="B16">
        <f t="shared" si="2"/>
        <v>4.1500000000000004</v>
      </c>
      <c r="C16">
        <f t="shared" si="3"/>
        <v>-5.93</v>
      </c>
      <c r="D16">
        <f t="shared" si="4"/>
        <v>-2.61</v>
      </c>
      <c r="E16">
        <f t="shared" si="0"/>
        <v>-7.0739637443462389</v>
      </c>
      <c r="F16">
        <f t="shared" si="1"/>
        <v>0.59622328753089526</v>
      </c>
    </row>
    <row r="17" spans="2:6" x14ac:dyDescent="0.35">
      <c r="B17">
        <f t="shared" si="2"/>
        <v>4.5</v>
      </c>
      <c r="C17">
        <f t="shared" si="3"/>
        <v>-6.6999999999999993</v>
      </c>
      <c r="D17">
        <f t="shared" si="4"/>
        <v>-2.9</v>
      </c>
      <c r="E17">
        <f t="shared" si="0"/>
        <v>-11.77895761177809</v>
      </c>
      <c r="F17">
        <f t="shared" si="1"/>
        <v>3.9591103264386818</v>
      </c>
    </row>
    <row r="18" spans="2:6" x14ac:dyDescent="0.35">
      <c r="B18">
        <f t="shared" si="2"/>
        <v>4.8499999999999996</v>
      </c>
      <c r="C18">
        <f t="shared" si="3"/>
        <v>-7.4699999999999989</v>
      </c>
      <c r="D18">
        <f t="shared" si="4"/>
        <v>-3.19</v>
      </c>
      <c r="E18">
        <f t="shared" si="0"/>
        <v>-16.202156707507964</v>
      </c>
      <c r="F18">
        <f t="shared" si="1"/>
        <v>6.9693315236084459</v>
      </c>
    </row>
    <row r="19" spans="2:6" x14ac:dyDescent="0.35">
      <c r="B19">
        <f t="shared" si="2"/>
        <v>5.1999999999999993</v>
      </c>
      <c r="C19">
        <f t="shared" si="3"/>
        <v>-8.2399999999999984</v>
      </c>
      <c r="D19">
        <f t="shared" si="4"/>
        <v>-3.48</v>
      </c>
      <c r="E19">
        <f t="shared" si="0"/>
        <v>-19.445452151183311</v>
      </c>
      <c r="F19">
        <f t="shared" si="1"/>
        <v>9.1624915355095684</v>
      </c>
    </row>
    <row r="20" spans="2:6" x14ac:dyDescent="0.35">
      <c r="B20">
        <f t="shared" si="2"/>
        <v>5.5499999999999989</v>
      </c>
      <c r="C20">
        <f t="shared" si="3"/>
        <v>-9.009999999999998</v>
      </c>
      <c r="D20">
        <f t="shared" si="4"/>
        <v>-3.77</v>
      </c>
      <c r="E20">
        <f t="shared" si="0"/>
        <v>-20.624795264621746</v>
      </c>
      <c r="F20">
        <f t="shared" si="1"/>
        <v>10.269065788439416</v>
      </c>
    </row>
    <row r="21" spans="2:6" x14ac:dyDescent="0.35">
      <c r="B21">
        <f t="shared" si="2"/>
        <v>5.8999999999999986</v>
      </c>
      <c r="C21">
        <f t="shared" si="3"/>
        <v>-9.7799999999999976</v>
      </c>
      <c r="D21">
        <f t="shared" si="4"/>
        <v>-4.0599999999999996</v>
      </c>
      <c r="E21">
        <f t="shared" si="0"/>
        <v>-19.050199138445112</v>
      </c>
      <c r="F21">
        <f t="shared" si="1"/>
        <v>10.267432863712106</v>
      </c>
    </row>
    <row r="22" spans="2:6" x14ac:dyDescent="0.35">
      <c r="B22">
        <f t="shared" si="2"/>
        <v>6.2499999999999982</v>
      </c>
      <c r="C22">
        <f t="shared" si="3"/>
        <v>-10.549999999999997</v>
      </c>
      <c r="D22">
        <f t="shared" si="4"/>
        <v>-4.3499999999999996</v>
      </c>
      <c r="E22">
        <f t="shared" si="0"/>
        <v>-14.393676852497439</v>
      </c>
      <c r="F22">
        <f t="shared" si="1"/>
        <v>9.3761169939349909</v>
      </c>
    </row>
    <row r="23" spans="2:6" x14ac:dyDescent="0.35">
      <c r="B23">
        <f t="shared" si="2"/>
        <v>6.5999999999999979</v>
      </c>
      <c r="C23">
        <f t="shared" si="3"/>
        <v>-11.319999999999997</v>
      </c>
      <c r="D23">
        <f t="shared" si="4"/>
        <v>-4.6399999999999997</v>
      </c>
      <c r="E23">
        <f t="shared" si="0"/>
        <v>-6.809211280259639</v>
      </c>
      <c r="F23">
        <f t="shared" si="1"/>
        <v>7.9863219287030578</v>
      </c>
    </row>
    <row r="24" spans="2:6" x14ac:dyDescent="0.35">
      <c r="B24">
        <f t="shared" si="2"/>
        <v>6.9499999999999975</v>
      </c>
      <c r="C24">
        <f t="shared" si="3"/>
        <v>-12.089999999999996</v>
      </c>
      <c r="D24">
        <f t="shared" si="4"/>
        <v>-4.93</v>
      </c>
      <c r="E24">
        <f t="shared" si="0"/>
        <v>3.0247180628524362</v>
      </c>
      <c r="F24">
        <f t="shared" si="1"/>
        <v>6.5498328082058972</v>
      </c>
    </row>
    <row r="25" spans="2:6" x14ac:dyDescent="0.35">
      <c r="B25">
        <f t="shared" si="2"/>
        <v>7.2999999999999972</v>
      </c>
      <c r="C25">
        <f t="shared" si="3"/>
        <v>-12.859999999999996</v>
      </c>
      <c r="D25">
        <f t="shared" si="4"/>
        <v>-5.22</v>
      </c>
      <c r="E25">
        <f t="shared" si="0"/>
        <v>13.956563278868643</v>
      </c>
      <c r="F25">
        <f t="shared" si="1"/>
        <v>5.4483894161959814</v>
      </c>
    </row>
    <row r="26" spans="2:6" x14ac:dyDescent="0.35">
      <c r="B26">
        <f t="shared" si="2"/>
        <v>7.6499999999999968</v>
      </c>
      <c r="C26">
        <f t="shared" si="3"/>
        <v>-13.629999999999995</v>
      </c>
      <c r="D26">
        <f t="shared" si="4"/>
        <v>-5.51</v>
      </c>
      <c r="E26">
        <f t="shared" si="0"/>
        <v>24.506356341267477</v>
      </c>
      <c r="F26">
        <f t="shared" si="1"/>
        <v>4.8761646388458892</v>
      </c>
    </row>
    <row r="27" spans="2:6" x14ac:dyDescent="0.35">
      <c r="B27">
        <f t="shared" si="2"/>
        <v>7.9999999999999964</v>
      </c>
      <c r="C27">
        <f t="shared" si="3"/>
        <v>-14.399999999999995</v>
      </c>
      <c r="D27">
        <f t="shared" si="4"/>
        <v>-5.8</v>
      </c>
      <c r="E27">
        <f t="shared" si="0"/>
        <v>33.084540571069965</v>
      </c>
      <c r="F27">
        <f t="shared" si="1"/>
        <v>4.765585568805955</v>
      </c>
    </row>
    <row r="28" spans="2:6" x14ac:dyDescent="0.35">
      <c r="B28">
        <f t="shared" si="2"/>
        <v>8.3499999999999961</v>
      </c>
      <c r="C28">
        <f t="shared" si="3"/>
        <v>-15.169999999999995</v>
      </c>
      <c r="D28">
        <f t="shared" si="4"/>
        <v>-6.09</v>
      </c>
      <c r="E28">
        <f t="shared" si="0"/>
        <v>38.250195128164066</v>
      </c>
      <c r="F28">
        <f t="shared" si="1"/>
        <v>4.7784139342594294</v>
      </c>
    </row>
    <row r="29" spans="2:6" x14ac:dyDescent="0.35">
      <c r="B29">
        <f t="shared" si="2"/>
        <v>8.6999999999999957</v>
      </c>
      <c r="C29">
        <f t="shared" si="3"/>
        <v>-15.939999999999994</v>
      </c>
      <c r="D29">
        <f t="shared" si="4"/>
        <v>-6.38</v>
      </c>
      <c r="E29">
        <f t="shared" si="0"/>
        <v>38.963923859689075</v>
      </c>
      <c r="F29">
        <f t="shared" si="1"/>
        <v>4.3702419286068661</v>
      </c>
    </row>
    <row r="30" spans="2:6" x14ac:dyDescent="0.35">
      <c r="B30">
        <f t="shared" si="2"/>
        <v>9.0499999999999954</v>
      </c>
      <c r="C30">
        <f t="shared" si="3"/>
        <v>-16.709999999999994</v>
      </c>
      <c r="D30">
        <f t="shared" si="4"/>
        <v>-6.67</v>
      </c>
      <c r="E30">
        <f t="shared" si="0"/>
        <v>34.788821054854949</v>
      </c>
      <c r="F30">
        <f t="shared" si="1"/>
        <v>2.9200700427509307</v>
      </c>
    </row>
    <row r="31" spans="2:6" x14ac:dyDescent="0.35">
      <c r="B31">
        <f t="shared" si="2"/>
        <v>9.399999999999995</v>
      </c>
      <c r="C31">
        <f t="shared" si="3"/>
        <v>-17.479999999999993</v>
      </c>
      <c r="D31">
        <f t="shared" si="4"/>
        <v>-6.96</v>
      </c>
      <c r="E31">
        <f t="shared" si="0"/>
        <v>25.999919552975005</v>
      </c>
      <c r="F31">
        <f t="shared" si="1"/>
        <v>-9.9164437132017724E-2</v>
      </c>
    </row>
    <row r="32" spans="2:6" x14ac:dyDescent="0.35">
      <c r="B32">
        <f t="shared" si="2"/>
        <v>9.7499999999999947</v>
      </c>
      <c r="C32">
        <f t="shared" si="3"/>
        <v>-18.249999999999993</v>
      </c>
      <c r="D32">
        <f t="shared" si="4"/>
        <v>-7.25</v>
      </c>
      <c r="E32">
        <f t="shared" si="0"/>
        <v>13.577438517761367</v>
      </c>
      <c r="F32">
        <f t="shared" si="1"/>
        <v>-4.944897635490431</v>
      </c>
    </row>
    <row r="33" spans="2:6" x14ac:dyDescent="0.35">
      <c r="B33">
        <f t="shared" si="2"/>
        <v>10.099999999999994</v>
      </c>
      <c r="C33">
        <f t="shared" si="3"/>
        <v>-19.019999999999992</v>
      </c>
      <c r="D33">
        <f t="shared" si="4"/>
        <v>-7.54</v>
      </c>
      <c r="E33">
        <f t="shared" si="0"/>
        <v>-0.92054139237055033</v>
      </c>
      <c r="F33">
        <f t="shared" si="1"/>
        <v>-11.464632340567658</v>
      </c>
    </row>
    <row r="34" spans="2:6" x14ac:dyDescent="0.35">
      <c r="B34">
        <f t="shared" si="2"/>
        <v>10.449999999999994</v>
      </c>
      <c r="C34">
        <f t="shared" si="3"/>
        <v>-19.789999999999992</v>
      </c>
      <c r="D34">
        <f t="shared" si="4"/>
        <v>-7.83</v>
      </c>
      <c r="E34">
        <f t="shared" si="0"/>
        <v>-15.588313325747658</v>
      </c>
      <c r="F34">
        <f t="shared" si="1"/>
        <v>-19.027934572100342</v>
      </c>
    </row>
    <row r="35" spans="2:6" x14ac:dyDescent="0.35">
      <c r="B35">
        <f t="shared" si="2"/>
        <v>10.799999999999994</v>
      </c>
      <c r="C35">
        <f t="shared" si="3"/>
        <v>-20.559999999999992</v>
      </c>
      <c r="D35">
        <f t="shared" si="4"/>
        <v>-8.1199999999999992</v>
      </c>
      <c r="E35">
        <f t="shared" si="0"/>
        <v>-28.468423331486754</v>
      </c>
      <c r="F35">
        <f t="shared" si="1"/>
        <v>-26.555827292516405</v>
      </c>
    </row>
    <row r="36" spans="2:6" x14ac:dyDescent="0.35">
      <c r="B36">
        <f t="shared" si="2"/>
        <v>11.149999999999993</v>
      </c>
      <c r="C36">
        <f t="shared" si="3"/>
        <v>-21.329999999999991</v>
      </c>
      <c r="D36">
        <f t="shared" si="4"/>
        <v>-8.4099999999999984</v>
      </c>
      <c r="E36">
        <f t="shared" si="0"/>
        <v>-37.862593415127506</v>
      </c>
      <c r="F36">
        <f t="shared" si="1"/>
        <v>-32.654522726443034</v>
      </c>
    </row>
    <row r="37" spans="2:6" x14ac:dyDescent="0.35">
      <c r="B37">
        <f t="shared" si="2"/>
        <v>11.499999999999993</v>
      </c>
      <c r="C37">
        <f t="shared" si="3"/>
        <v>-22.099999999999991</v>
      </c>
      <c r="D37">
        <f t="shared" si="4"/>
        <v>-8.6999999999999975</v>
      </c>
      <c r="E37">
        <f t="shared" si="0"/>
        <v>-42.602798928803026</v>
      </c>
      <c r="F37">
        <f t="shared" si="1"/>
        <v>-35.83923975999317</v>
      </c>
    </row>
    <row r="38" spans="2:6" x14ac:dyDescent="0.35">
      <c r="B38">
        <f t="shared" si="2"/>
        <v>11.849999999999993</v>
      </c>
      <c r="C38">
        <f t="shared" si="3"/>
        <v>-22.86999999999999</v>
      </c>
      <c r="D38">
        <f t="shared" si="4"/>
        <v>-8.9899999999999967</v>
      </c>
      <c r="E38">
        <f t="shared" si="0"/>
        <v>-42.233492327427484</v>
      </c>
      <c r="F38">
        <f t="shared" si="1"/>
        <v>-34.813717683848814</v>
      </c>
    </row>
    <row r="39" spans="2:6" x14ac:dyDescent="0.35">
      <c r="B39">
        <f t="shared" si="2"/>
        <v>12.199999999999992</v>
      </c>
      <c r="C39">
        <f t="shared" si="3"/>
        <v>-23.63999999999999</v>
      </c>
      <c r="D39">
        <f t="shared" si="4"/>
        <v>-9.2799999999999958</v>
      </c>
      <c r="E39">
        <f t="shared" si="0"/>
        <v>-37.071228775831841</v>
      </c>
      <c r="F39">
        <f t="shared" si="1"/>
        <v>-28.756105909094906</v>
      </c>
    </row>
    <row r="40" spans="2:6" x14ac:dyDescent="0.35">
      <c r="B40">
        <f t="shared" si="2"/>
        <v>12.549999999999992</v>
      </c>
      <c r="C40">
        <f t="shared" si="3"/>
        <v>-24.409999999999989</v>
      </c>
      <c r="D40">
        <f t="shared" si="4"/>
        <v>-9.569999999999995</v>
      </c>
      <c r="E40">
        <f t="shared" si="0"/>
        <v>-28.129975877827114</v>
      </c>
      <c r="F40">
        <f t="shared" si="1"/>
        <v>-17.555544548642494</v>
      </c>
    </row>
    <row r="41" spans="2:6" x14ac:dyDescent="0.35">
      <c r="B41">
        <f t="shared" si="2"/>
        <v>12.899999999999991</v>
      </c>
      <c r="C41">
        <f t="shared" si="3"/>
        <v>-25.179999999999989</v>
      </c>
      <c r="D41">
        <f t="shared" si="4"/>
        <v>-9.8599999999999941</v>
      </c>
      <c r="E41">
        <f t="shared" si="0"/>
        <v>-16.925178398554532</v>
      </c>
      <c r="F41">
        <f t="shared" si="1"/>
        <v>-1.9478296519202907</v>
      </c>
    </row>
    <row r="42" spans="2:6" x14ac:dyDescent="0.35">
      <c r="B42">
        <f t="shared" si="2"/>
        <v>13.249999999999991</v>
      </c>
      <c r="C42">
        <f t="shared" si="3"/>
        <v>-25.949999999999989</v>
      </c>
      <c r="D42">
        <f t="shared" si="4"/>
        <v>-10.149999999999993</v>
      </c>
      <c r="E42">
        <f t="shared" si="0"/>
        <v>-5.1925419408647109</v>
      </c>
      <c r="F42">
        <f t="shared" si="1"/>
        <v>16.486977932628598</v>
      </c>
    </row>
    <row r="43" spans="2:6" x14ac:dyDescent="0.35">
      <c r="B43">
        <f t="shared" si="2"/>
        <v>13.599999999999991</v>
      </c>
      <c r="C43">
        <f t="shared" si="3"/>
        <v>-26.719999999999988</v>
      </c>
      <c r="D43">
        <f t="shared" si="4"/>
        <v>-10.439999999999992</v>
      </c>
      <c r="E43">
        <f t="shared" si="0"/>
        <v>5.4259391502335959</v>
      </c>
      <c r="F43">
        <f t="shared" si="1"/>
        <v>35.47937201219694</v>
      </c>
    </row>
    <row r="44" spans="2:6" x14ac:dyDescent="0.35">
      <c r="B44">
        <f t="shared" si="2"/>
        <v>13.94999999999999</v>
      </c>
      <c r="C44">
        <f t="shared" si="3"/>
        <v>-27.489999999999988</v>
      </c>
      <c r="D44">
        <f t="shared" si="4"/>
        <v>-10.729999999999992</v>
      </c>
      <c r="E44">
        <f t="shared" si="0"/>
        <v>13.669308180279453</v>
      </c>
      <c r="F44">
        <f t="shared" si="1"/>
        <v>52.364757473972531</v>
      </c>
    </row>
    <row r="45" spans="2:6" x14ac:dyDescent="0.35">
      <c r="B45">
        <f t="shared" si="2"/>
        <v>14.29999999999999</v>
      </c>
      <c r="C45">
        <f t="shared" si="3"/>
        <v>-28.259999999999987</v>
      </c>
      <c r="D45">
        <f t="shared" si="4"/>
        <v>-11.019999999999991</v>
      </c>
      <c r="E45">
        <f t="shared" si="0"/>
        <v>18.863324341630822</v>
      </c>
      <c r="F45">
        <f t="shared" si="1"/>
        <v>64.477586916776247</v>
      </c>
    </row>
    <row r="46" spans="2:6" x14ac:dyDescent="0.35">
      <c r="B46">
        <f t="shared" si="2"/>
        <v>14.64999999999999</v>
      </c>
      <c r="C46">
        <f t="shared" si="3"/>
        <v>-29.029999999999987</v>
      </c>
      <c r="D46">
        <f t="shared" si="4"/>
        <v>-11.30999999999999</v>
      </c>
      <c r="E46">
        <f t="shared" si="0"/>
        <v>21.004629295266639</v>
      </c>
      <c r="F46">
        <f t="shared" si="1"/>
        <v>69.584145734951761</v>
      </c>
    </row>
    <row r="47" spans="2:6" x14ac:dyDescent="0.35">
      <c r="B47">
        <f t="shared" si="2"/>
        <v>14.999999999999989</v>
      </c>
      <c r="C47">
        <f t="shared" si="3"/>
        <v>-29.799999999999986</v>
      </c>
      <c r="D47">
        <f t="shared" si="4"/>
        <v>-11.599999999999989</v>
      </c>
      <c r="E47">
        <f t="shared" si="0"/>
        <v>20.706792250506027</v>
      </c>
      <c r="F47">
        <f t="shared" si="1"/>
        <v>66.281302823232821</v>
      </c>
    </row>
    <row r="48" spans="2:6" x14ac:dyDescent="0.35">
      <c r="B48">
        <f t="shared" si="2"/>
        <v>15.349999999999989</v>
      </c>
      <c r="C48">
        <f t="shared" si="3"/>
        <v>-30.569999999999986</v>
      </c>
      <c r="D48">
        <f t="shared" si="4"/>
        <v>-11.889999999999988</v>
      </c>
      <c r="E48">
        <f t="shared" si="0"/>
        <v>19.018715465903689</v>
      </c>
      <c r="F48">
        <f t="shared" si="1"/>
        <v>54.289534409352861</v>
      </c>
    </row>
    <row r="49" spans="2:6" x14ac:dyDescent="0.35">
      <c r="B49">
        <f t="shared" si="2"/>
        <v>15.699999999999989</v>
      </c>
      <c r="C49">
        <f t="shared" si="3"/>
        <v>-31.339999999999986</v>
      </c>
      <c r="D49">
        <f t="shared" si="4"/>
        <v>-12.179999999999987</v>
      </c>
      <c r="E49">
        <f t="shared" si="0"/>
        <v>17.151654318767051</v>
      </c>
      <c r="F49">
        <f t="shared" si="1"/>
        <v>34.582574404226392</v>
      </c>
    </row>
    <row r="50" spans="2:6" x14ac:dyDescent="0.35">
      <c r="B50">
        <f t="shared" si="2"/>
        <v>16.04999999999999</v>
      </c>
      <c r="C50">
        <f t="shared" si="3"/>
        <v>-32.109999999999985</v>
      </c>
      <c r="D50">
        <f t="shared" si="4"/>
        <v>-12.469999999999986</v>
      </c>
      <c r="E50">
        <f t="shared" si="0"/>
        <v>16.170484685770191</v>
      </c>
      <c r="F50">
        <f t="shared" si="1"/>
        <v>9.3212607463294468</v>
      </c>
    </row>
    <row r="51" spans="2:6" x14ac:dyDescent="0.35">
      <c r="B51">
        <f t="shared" si="2"/>
        <v>16.399999999999991</v>
      </c>
      <c r="C51">
        <f t="shared" si="3"/>
        <v>-32.879999999999988</v>
      </c>
      <c r="D51">
        <f t="shared" si="4"/>
        <v>-12.759999999999986</v>
      </c>
      <c r="E51">
        <f t="shared" si="0"/>
        <v>16.713825414760556</v>
      </c>
      <c r="F51">
        <f t="shared" si="1"/>
        <v>-18.408504337486512</v>
      </c>
    </row>
    <row r="52" spans="2:6" x14ac:dyDescent="0.35">
      <c r="B52">
        <f t="shared" si="2"/>
        <v>16.749999999999993</v>
      </c>
      <c r="C52">
        <f t="shared" si="3"/>
        <v>-33.649999999999991</v>
      </c>
      <c r="D52">
        <f t="shared" si="4"/>
        <v>-13.049999999999985</v>
      </c>
      <c r="E52">
        <f t="shared" si="0"/>
        <v>18.804058773577328</v>
      </c>
      <c r="F52">
        <f t="shared" si="1"/>
        <v>-45.019811861034114</v>
      </c>
    </row>
    <row r="53" spans="2:6" x14ac:dyDescent="0.35">
      <c r="B53">
        <f t="shared" si="2"/>
        <v>17.099999999999994</v>
      </c>
      <c r="C53">
        <f t="shared" si="3"/>
        <v>-34.419999999999995</v>
      </c>
      <c r="D53">
        <f t="shared" si="4"/>
        <v>-13.339999999999984</v>
      </c>
      <c r="E53">
        <f t="shared" si="0"/>
        <v>21.792402124449975</v>
      </c>
      <c r="F53">
        <f t="shared" si="1"/>
        <v>-66.947459927019793</v>
      </c>
    </row>
    <row r="54" spans="2:6" x14ac:dyDescent="0.35">
      <c r="B54">
        <f t="shared" si="2"/>
        <v>17.449999999999996</v>
      </c>
      <c r="C54">
        <f t="shared" si="3"/>
        <v>-35.19</v>
      </c>
      <c r="D54">
        <f t="shared" si="4"/>
        <v>-13.629999999999983</v>
      </c>
      <c r="E54">
        <f t="shared" si="0"/>
        <v>24.458580939875116</v>
      </c>
      <c r="F54">
        <f t="shared" si="1"/>
        <v>-81.186416092487335</v>
      </c>
    </row>
    <row r="55" spans="2:6" x14ac:dyDescent="0.35">
      <c r="B55">
        <f t="shared" si="2"/>
        <v>17.799999999999997</v>
      </c>
      <c r="C55">
        <f t="shared" si="3"/>
        <v>-35.96</v>
      </c>
      <c r="D55">
        <f t="shared" si="4"/>
        <v>-13.919999999999982</v>
      </c>
      <c r="E55">
        <f t="shared" si="0"/>
        <v>25.253932017570623</v>
      </c>
      <c r="F55">
        <f t="shared" si="1"/>
        <v>-85.757409184602011</v>
      </c>
    </row>
    <row r="56" spans="2:6" x14ac:dyDescent="0.35">
      <c r="B56">
        <f t="shared" si="2"/>
        <v>18.149999999999999</v>
      </c>
      <c r="C56">
        <f t="shared" si="3"/>
        <v>-36.730000000000004</v>
      </c>
      <c r="D56">
        <f t="shared" si="4"/>
        <v>-14.209999999999981</v>
      </c>
      <c r="E56">
        <f t="shared" si="0"/>
        <v>22.646700496065698</v>
      </c>
      <c r="F56">
        <f t="shared" si="1"/>
        <v>-80.020670815211787</v>
      </c>
    </row>
    <row r="57" spans="2:6" x14ac:dyDescent="0.35">
      <c r="B57">
        <f t="shared" si="2"/>
        <v>18.5</v>
      </c>
      <c r="C57">
        <f t="shared" si="3"/>
        <v>-37.500000000000007</v>
      </c>
      <c r="D57">
        <f t="shared" si="4"/>
        <v>-14.49999999999998</v>
      </c>
      <c r="E57">
        <f t="shared" si="0"/>
        <v>15.504778696594745</v>
      </c>
      <c r="F57">
        <f t="shared" si="1"/>
        <v>-64.782620867910197</v>
      </c>
    </row>
    <row r="58" spans="2:6" x14ac:dyDescent="0.35">
      <c r="B58">
        <f t="shared" si="2"/>
        <v>18.850000000000001</v>
      </c>
      <c r="C58">
        <f t="shared" si="3"/>
        <v>-38.27000000000001</v>
      </c>
      <c r="D58">
        <f t="shared" si="4"/>
        <v>-14.78999999999998</v>
      </c>
      <c r="E58">
        <f t="shared" si="0"/>
        <v>3.4390612008329171</v>
      </c>
      <c r="F58">
        <f t="shared" si="1"/>
        <v>-42.174386310972331</v>
      </c>
    </row>
    <row r="59" spans="2:6" x14ac:dyDescent="0.35">
      <c r="B59">
        <f t="shared" si="2"/>
        <v>19.200000000000003</v>
      </c>
      <c r="C59">
        <f t="shared" si="3"/>
        <v>-39.040000000000013</v>
      </c>
      <c r="D59">
        <f t="shared" si="4"/>
        <v>-15.079999999999979</v>
      </c>
      <c r="E59">
        <f t="shared" si="0"/>
        <v>-12.967122913028675</v>
      </c>
      <c r="F59">
        <f t="shared" si="1"/>
        <v>-15.319663719078303</v>
      </c>
    </row>
    <row r="60" spans="2:6" x14ac:dyDescent="0.35">
      <c r="B60">
        <f t="shared" si="2"/>
        <v>19.550000000000004</v>
      </c>
      <c r="C60">
        <f t="shared" si="3"/>
        <v>-39.810000000000016</v>
      </c>
      <c r="D60">
        <f t="shared" si="4"/>
        <v>-15.369999999999978</v>
      </c>
      <c r="E60">
        <f t="shared" si="0"/>
        <v>-32.100084678525825</v>
      </c>
      <c r="F60">
        <f t="shared" si="1"/>
        <v>12.154194140440943</v>
      </c>
    </row>
    <row r="61" spans="2:6" x14ac:dyDescent="0.35">
      <c r="B61">
        <f t="shared" si="2"/>
        <v>19.900000000000006</v>
      </c>
      <c r="C61">
        <f t="shared" si="3"/>
        <v>-40.58000000000002</v>
      </c>
      <c r="D61">
        <f t="shared" si="4"/>
        <v>-15.659999999999977</v>
      </c>
      <c r="E61">
        <f t="shared" si="0"/>
        <v>-51.45778533239654</v>
      </c>
      <c r="F61">
        <f t="shared" si="1"/>
        <v>36.680418063128087</v>
      </c>
    </row>
    <row r="62" spans="2:6" x14ac:dyDescent="0.35">
      <c r="B62">
        <f t="shared" si="2"/>
        <v>20.250000000000007</v>
      </c>
      <c r="C62">
        <f t="shared" si="3"/>
        <v>-41.350000000000023</v>
      </c>
      <c r="D62">
        <f t="shared" si="4"/>
        <v>-15.949999999999976</v>
      </c>
      <c r="E62">
        <f t="shared" si="0"/>
        <v>-67.9837503154329</v>
      </c>
      <c r="F62">
        <f t="shared" si="1"/>
        <v>55.297291158404761</v>
      </c>
    </row>
    <row r="63" spans="2:6" x14ac:dyDescent="0.35">
      <c r="B63">
        <f t="shared" si="2"/>
        <v>20.600000000000009</v>
      </c>
      <c r="C63">
        <f t="shared" si="3"/>
        <v>-42.120000000000026</v>
      </c>
      <c r="D63">
        <f t="shared" si="4"/>
        <v>-16.239999999999977</v>
      </c>
      <c r="E63">
        <f t="shared" si="0"/>
        <v>-78.547594499986161</v>
      </c>
      <c r="F63">
        <f t="shared" si="1"/>
        <v>66.080742781200087</v>
      </c>
    </row>
    <row r="64" spans="2:6" x14ac:dyDescent="0.35">
      <c r="B64">
        <f t="shared" si="2"/>
        <v>20.95000000000001</v>
      </c>
      <c r="C64">
        <f t="shared" si="3"/>
        <v>-42.890000000000029</v>
      </c>
      <c r="D64">
        <f t="shared" si="4"/>
        <v>-16.529999999999976</v>
      </c>
      <c r="E64">
        <f t="shared" si="0"/>
        <v>-80.495765336025187</v>
      </c>
      <c r="F64">
        <f t="shared" si="1"/>
        <v>68.392360562047614</v>
      </c>
    </row>
    <row r="65" spans="2:6" x14ac:dyDescent="0.35">
      <c r="B65">
        <f t="shared" si="2"/>
        <v>21.300000000000011</v>
      </c>
      <c r="C65">
        <f t="shared" si="3"/>
        <v>-43.660000000000032</v>
      </c>
      <c r="D65">
        <f t="shared" si="4"/>
        <v>-16.819999999999975</v>
      </c>
      <c r="E65">
        <f t="shared" si="0"/>
        <v>-72.177308932859631</v>
      </c>
      <c r="F65">
        <f t="shared" si="1"/>
        <v>62.902689329691199</v>
      </c>
    </row>
    <row r="66" spans="2:6" x14ac:dyDescent="0.35">
      <c r="B66">
        <f t="shared" si="2"/>
        <v>21.650000000000013</v>
      </c>
      <c r="C66">
        <f t="shared" si="3"/>
        <v>-44.430000000000035</v>
      </c>
      <c r="D66">
        <f t="shared" si="4"/>
        <v>-17.109999999999975</v>
      </c>
      <c r="E66">
        <f t="shared" si="0"/>
        <v>-53.347101173087104</v>
      </c>
      <c r="F66">
        <f t="shared" si="1"/>
        <v>51.389750463069383</v>
      </c>
    </row>
    <row r="67" spans="2:6" x14ac:dyDescent="0.35">
      <c r="B67">
        <f t="shared" si="2"/>
        <v>22.000000000000014</v>
      </c>
      <c r="C67">
        <f t="shared" si="3"/>
        <v>-45.200000000000038</v>
      </c>
      <c r="D67">
        <f t="shared" si="4"/>
        <v>-17.399999999999974</v>
      </c>
      <c r="E67">
        <f t="shared" si="0"/>
        <v>-25.364353710972697</v>
      </c>
      <c r="F67">
        <f t="shared" si="1"/>
        <v>36.353098239757607</v>
      </c>
    </row>
    <row r="68" spans="2:6" x14ac:dyDescent="0.35">
      <c r="B68">
        <f t="shared" si="2"/>
        <v>22.350000000000016</v>
      </c>
      <c r="C68">
        <f t="shared" si="3"/>
        <v>-45.970000000000041</v>
      </c>
      <c r="D68">
        <f t="shared" si="4"/>
        <v>-17.689999999999973</v>
      </c>
      <c r="E68">
        <f t="shared" si="0"/>
        <v>8.864607013242594</v>
      </c>
      <c r="F68">
        <f t="shared" si="1"/>
        <v>20.517062394922689</v>
      </c>
    </row>
    <row r="69" spans="2:6" x14ac:dyDescent="0.35">
      <c r="B69">
        <f t="shared" si="2"/>
        <v>22.700000000000017</v>
      </c>
      <c r="C69">
        <f t="shared" si="3"/>
        <v>-46.740000000000045</v>
      </c>
      <c r="D69">
        <f t="shared" si="4"/>
        <v>-17.979999999999972</v>
      </c>
      <c r="E69">
        <f t="shared" si="0"/>
        <v>45.208169968808875</v>
      </c>
      <c r="F69">
        <f t="shared" si="1"/>
        <v>6.3168912264496484</v>
      </c>
    </row>
    <row r="70" spans="2:6" x14ac:dyDescent="0.35">
      <c r="B70">
        <f t="shared" si="2"/>
        <v>23.050000000000018</v>
      </c>
      <c r="C70">
        <f t="shared" si="3"/>
        <v>-47.510000000000048</v>
      </c>
      <c r="D70">
        <f t="shared" si="4"/>
        <v>-18.269999999999971</v>
      </c>
      <c r="E70">
        <f t="shared" si="0"/>
        <v>78.858799780745727</v>
      </c>
      <c r="F70">
        <f t="shared" si="1"/>
        <v>-4.535588514328289</v>
      </c>
    </row>
    <row r="71" spans="2:6" x14ac:dyDescent="0.35">
      <c r="B71">
        <f t="shared" si="2"/>
        <v>23.40000000000002</v>
      </c>
      <c r="C71">
        <f t="shared" si="3"/>
        <v>-48.280000000000051</v>
      </c>
      <c r="D71">
        <f t="shared" si="4"/>
        <v>-18.55999999999997</v>
      </c>
      <c r="E71">
        <f t="shared" ref="E71:E134" si="5">(B71-C71)*COS(D71)+C71*COS((B71/C71-1)*D71)</f>
        <v>105.03112561116743</v>
      </c>
      <c r="F71">
        <f t="shared" ref="F71:F134" si="6">(B71-C71)*SIN(D71)+C71*SIN((B71/C71-1)*D71)</f>
        <v>-11.325244195241574</v>
      </c>
    </row>
    <row r="72" spans="2:6" x14ac:dyDescent="0.35">
      <c r="B72">
        <f t="shared" ref="B72:B135" si="7">B71+$B$2</f>
        <v>23.750000000000021</v>
      </c>
      <c r="C72">
        <f t="shared" ref="C72:C135" si="8">C71+$B$3</f>
        <v>-49.050000000000054</v>
      </c>
      <c r="D72">
        <f t="shared" ref="D72:D135" si="9">D71+$B$4</f>
        <v>-18.849999999999969</v>
      </c>
      <c r="E72">
        <f t="shared" si="5"/>
        <v>119.70011418642815</v>
      </c>
      <c r="F72">
        <f t="shared" si="6"/>
        <v>-14.394818805602265</v>
      </c>
    </row>
    <row r="73" spans="2:6" x14ac:dyDescent="0.35">
      <c r="B73">
        <f t="shared" si="7"/>
        <v>24.100000000000023</v>
      </c>
      <c r="C73">
        <f t="shared" si="8"/>
        <v>-49.820000000000057</v>
      </c>
      <c r="D73">
        <f t="shared" si="9"/>
        <v>-19.139999999999969</v>
      </c>
      <c r="E73">
        <f t="shared" si="5"/>
        <v>120.25851787912006</v>
      </c>
      <c r="F73">
        <f t="shared" si="6"/>
        <v>-14.983558651027119</v>
      </c>
    </row>
    <row r="74" spans="2:6" x14ac:dyDescent="0.35">
      <c r="B74">
        <f t="shared" si="7"/>
        <v>24.450000000000024</v>
      </c>
      <c r="C74">
        <f t="shared" si="8"/>
        <v>-50.59000000000006</v>
      </c>
      <c r="D74">
        <f t="shared" si="9"/>
        <v>-19.429999999999968</v>
      </c>
      <c r="E74">
        <f t="shared" si="5"/>
        <v>105.98114989732983</v>
      </c>
      <c r="F74">
        <f t="shared" si="6"/>
        <v>-14.876004841683251</v>
      </c>
    </row>
    <row r="75" spans="2:6" x14ac:dyDescent="0.35">
      <c r="B75">
        <f t="shared" si="7"/>
        <v>24.800000000000026</v>
      </c>
      <c r="C75">
        <f t="shared" si="8"/>
        <v>-51.360000000000063</v>
      </c>
      <c r="D75">
        <f t="shared" si="9"/>
        <v>-19.719999999999967</v>
      </c>
      <c r="E75">
        <f t="shared" si="5"/>
        <v>78.211709460243867</v>
      </c>
      <c r="F75">
        <f t="shared" si="6"/>
        <v>-15.93139289183906</v>
      </c>
    </row>
    <row r="76" spans="2:6" x14ac:dyDescent="0.35">
      <c r="B76">
        <f t="shared" si="7"/>
        <v>25.150000000000027</v>
      </c>
      <c r="C76">
        <f t="shared" si="8"/>
        <v>-52.130000000000067</v>
      </c>
      <c r="D76">
        <f t="shared" si="9"/>
        <v>-20.009999999999966</v>
      </c>
      <c r="E76">
        <f t="shared" si="5"/>
        <v>40.231595497721308</v>
      </c>
      <c r="F76">
        <f t="shared" si="6"/>
        <v>-19.589127505737515</v>
      </c>
    </row>
    <row r="77" spans="2:6" x14ac:dyDescent="0.35">
      <c r="B77">
        <f t="shared" si="7"/>
        <v>25.500000000000028</v>
      </c>
      <c r="C77">
        <f t="shared" si="8"/>
        <v>-52.90000000000007</v>
      </c>
      <c r="D77">
        <f t="shared" si="9"/>
        <v>-20.299999999999965</v>
      </c>
      <c r="E77">
        <f t="shared" si="5"/>
        <v>-3.177749985054243</v>
      </c>
      <c r="F77">
        <f t="shared" si="6"/>
        <v>-26.453058582722107</v>
      </c>
    </row>
    <row r="78" spans="2:6" x14ac:dyDescent="0.35">
      <c r="B78">
        <f t="shared" si="7"/>
        <v>25.85000000000003</v>
      </c>
      <c r="C78">
        <f t="shared" si="8"/>
        <v>-53.670000000000073</v>
      </c>
      <c r="D78">
        <f t="shared" si="9"/>
        <v>-20.589999999999964</v>
      </c>
      <c r="E78">
        <f t="shared" si="5"/>
        <v>-46.415793107340676</v>
      </c>
      <c r="F78">
        <f t="shared" si="6"/>
        <v>-36.044908490053608</v>
      </c>
    </row>
    <row r="79" spans="2:6" x14ac:dyDescent="0.35">
      <c r="B79">
        <f t="shared" si="7"/>
        <v>26.200000000000031</v>
      </c>
      <c r="C79">
        <f t="shared" si="8"/>
        <v>-54.440000000000076</v>
      </c>
      <c r="D79">
        <f t="shared" si="9"/>
        <v>-20.879999999999963</v>
      </c>
      <c r="E79">
        <f t="shared" si="5"/>
        <v>-83.881828998063071</v>
      </c>
      <c r="F79">
        <f t="shared" si="6"/>
        <v>-46.786942349823519</v>
      </c>
    </row>
    <row r="80" spans="2:6" x14ac:dyDescent="0.35">
      <c r="B80">
        <f t="shared" si="7"/>
        <v>26.550000000000033</v>
      </c>
      <c r="C80">
        <f t="shared" si="8"/>
        <v>-55.210000000000079</v>
      </c>
      <c r="D80">
        <f t="shared" si="9"/>
        <v>-21.169999999999963</v>
      </c>
      <c r="E80">
        <f t="shared" si="5"/>
        <v>-110.80145978158944</v>
      </c>
      <c r="F80">
        <f t="shared" si="6"/>
        <v>-56.230985845276415</v>
      </c>
    </row>
    <row r="81" spans="2:6" x14ac:dyDescent="0.35">
      <c r="B81">
        <f t="shared" si="7"/>
        <v>26.900000000000034</v>
      </c>
      <c r="C81">
        <f t="shared" si="8"/>
        <v>-55.980000000000082</v>
      </c>
      <c r="D81">
        <f t="shared" si="9"/>
        <v>-21.459999999999962</v>
      </c>
      <c r="E81">
        <f t="shared" si="5"/>
        <v>-123.92693877201566</v>
      </c>
      <c r="F81">
        <f t="shared" si="6"/>
        <v>-61.502875521355577</v>
      </c>
    </row>
    <row r="82" spans="2:6" x14ac:dyDescent="0.35">
      <c r="B82">
        <f t="shared" si="7"/>
        <v>27.250000000000036</v>
      </c>
      <c r="C82">
        <f t="shared" si="8"/>
        <v>-56.750000000000085</v>
      </c>
      <c r="D82">
        <f t="shared" si="9"/>
        <v>-21.749999999999961</v>
      </c>
      <c r="E82">
        <f t="shared" si="5"/>
        <v>-121.99722855974734</v>
      </c>
      <c r="F82">
        <f t="shared" si="6"/>
        <v>-59.887263519106085</v>
      </c>
    </row>
    <row r="83" spans="2:6" x14ac:dyDescent="0.35">
      <c r="B83">
        <f t="shared" si="7"/>
        <v>27.600000000000037</v>
      </c>
      <c r="C83">
        <f t="shared" si="8"/>
        <v>-57.520000000000088</v>
      </c>
      <c r="D83">
        <f t="shared" si="9"/>
        <v>-22.03999999999996</v>
      </c>
      <c r="E83">
        <f t="shared" si="5"/>
        <v>-105.88297995450841</v>
      </c>
      <c r="F83">
        <f t="shared" si="6"/>
        <v>-49.445863370645043</v>
      </c>
    </row>
    <row r="84" spans="2:6" x14ac:dyDescent="0.35">
      <c r="B84">
        <f t="shared" si="7"/>
        <v>27.950000000000038</v>
      </c>
      <c r="C84">
        <f t="shared" si="8"/>
        <v>-58.290000000000092</v>
      </c>
      <c r="D84">
        <f t="shared" si="9"/>
        <v>-22.329999999999959</v>
      </c>
      <c r="E84">
        <f t="shared" si="5"/>
        <v>-78.394267670944288</v>
      </c>
      <c r="F84">
        <f t="shared" si="6"/>
        <v>-29.549189952409534</v>
      </c>
    </row>
    <row r="85" spans="2:6" x14ac:dyDescent="0.35">
      <c r="B85">
        <f t="shared" si="7"/>
        <v>28.30000000000004</v>
      </c>
      <c r="C85">
        <f t="shared" si="8"/>
        <v>-59.060000000000095</v>
      </c>
      <c r="D85">
        <f t="shared" si="9"/>
        <v>-22.619999999999958</v>
      </c>
      <c r="E85">
        <f t="shared" si="5"/>
        <v>-43.785807062794881</v>
      </c>
      <c r="F85">
        <f t="shared" si="6"/>
        <v>-1.2108329901568808</v>
      </c>
    </row>
    <row r="86" spans="2:6" x14ac:dyDescent="0.35">
      <c r="B86">
        <f t="shared" si="7"/>
        <v>28.650000000000041</v>
      </c>
      <c r="C86">
        <f t="shared" si="8"/>
        <v>-59.830000000000098</v>
      </c>
      <c r="D86">
        <f t="shared" si="9"/>
        <v>-22.909999999999958</v>
      </c>
      <c r="E86">
        <f t="shared" si="5"/>
        <v>-7.0456143825268285</v>
      </c>
      <c r="F86">
        <f t="shared" si="6"/>
        <v>32.856426889868914</v>
      </c>
    </row>
    <row r="87" spans="2:6" x14ac:dyDescent="0.35">
      <c r="B87">
        <f t="shared" si="7"/>
        <v>29.000000000000043</v>
      </c>
      <c r="C87">
        <f t="shared" si="8"/>
        <v>-60.600000000000101</v>
      </c>
      <c r="D87">
        <f t="shared" si="9"/>
        <v>-23.199999999999957</v>
      </c>
      <c r="E87">
        <f t="shared" si="5"/>
        <v>26.910396396120294</v>
      </c>
      <c r="F87">
        <f t="shared" si="6"/>
        <v>68.496483564939865</v>
      </c>
    </row>
    <row r="88" spans="2:6" x14ac:dyDescent="0.35">
      <c r="B88">
        <f t="shared" si="7"/>
        <v>29.350000000000044</v>
      </c>
      <c r="C88">
        <f t="shared" si="8"/>
        <v>-61.370000000000104</v>
      </c>
      <c r="D88">
        <f t="shared" si="9"/>
        <v>-23.489999999999956</v>
      </c>
      <c r="E88">
        <f t="shared" si="5"/>
        <v>54.000136427167654</v>
      </c>
      <c r="F88">
        <f t="shared" si="6"/>
        <v>100.65601959382519</v>
      </c>
    </row>
    <row r="89" spans="2:6" x14ac:dyDescent="0.35">
      <c r="B89">
        <f t="shared" si="7"/>
        <v>29.700000000000045</v>
      </c>
      <c r="C89">
        <f t="shared" si="8"/>
        <v>-62.140000000000107</v>
      </c>
      <c r="D89">
        <f t="shared" si="9"/>
        <v>-23.779999999999955</v>
      </c>
      <c r="E89">
        <f t="shared" si="5"/>
        <v>71.564540117451543</v>
      </c>
      <c r="F89">
        <f t="shared" si="6"/>
        <v>124.14468231537313</v>
      </c>
    </row>
    <row r="90" spans="2:6" x14ac:dyDescent="0.35">
      <c r="B90">
        <f t="shared" si="7"/>
        <v>30.050000000000047</v>
      </c>
      <c r="C90">
        <f t="shared" si="8"/>
        <v>-62.91000000000011</v>
      </c>
      <c r="D90">
        <f t="shared" si="9"/>
        <v>-24.069999999999954</v>
      </c>
      <c r="E90">
        <f t="shared" si="5"/>
        <v>78.68703863188972</v>
      </c>
      <c r="F90">
        <f t="shared" si="6"/>
        <v>134.48973940872844</v>
      </c>
    </row>
    <row r="91" spans="2:6" x14ac:dyDescent="0.35">
      <c r="B91">
        <f t="shared" si="7"/>
        <v>30.400000000000048</v>
      </c>
      <c r="C91">
        <f t="shared" si="8"/>
        <v>-63.680000000000113</v>
      </c>
      <c r="D91">
        <f t="shared" si="9"/>
        <v>-24.359999999999953</v>
      </c>
      <c r="E91">
        <f t="shared" si="5"/>
        <v>76.195004423406488</v>
      </c>
      <c r="F91">
        <f t="shared" si="6"/>
        <v>128.7416126409608</v>
      </c>
    </row>
    <row r="92" spans="2:6" x14ac:dyDescent="0.35">
      <c r="B92">
        <f t="shared" si="7"/>
        <v>30.75000000000005</v>
      </c>
      <c r="C92">
        <f t="shared" si="8"/>
        <v>-64.450000000000117</v>
      </c>
      <c r="D92">
        <f t="shared" si="9"/>
        <v>-24.649999999999952</v>
      </c>
      <c r="E92">
        <f t="shared" si="5"/>
        <v>66.352352139525721</v>
      </c>
      <c r="F92">
        <f t="shared" si="6"/>
        <v>106.08716873321194</v>
      </c>
    </row>
    <row r="93" spans="2:6" x14ac:dyDescent="0.35">
      <c r="B93">
        <f t="shared" si="7"/>
        <v>31.100000000000051</v>
      </c>
      <c r="C93">
        <f t="shared" si="8"/>
        <v>-65.220000000000113</v>
      </c>
      <c r="D93">
        <f t="shared" si="9"/>
        <v>-24.939999999999952</v>
      </c>
      <c r="E93">
        <f t="shared" si="5"/>
        <v>52.30825859787538</v>
      </c>
      <c r="F93">
        <f t="shared" si="6"/>
        <v>68.153525889090474</v>
      </c>
    </row>
    <row r="94" spans="2:6" x14ac:dyDescent="0.35">
      <c r="B94">
        <f t="shared" si="7"/>
        <v>31.450000000000053</v>
      </c>
      <c r="C94">
        <f t="shared" si="8"/>
        <v>-65.990000000000109</v>
      </c>
      <c r="D94">
        <f t="shared" si="9"/>
        <v>-25.229999999999951</v>
      </c>
      <c r="E94">
        <f t="shared" si="5"/>
        <v>37.410910601123973</v>
      </c>
      <c r="F94">
        <f t="shared" si="6"/>
        <v>18.932798238839084</v>
      </c>
    </row>
    <row r="95" spans="2:6" x14ac:dyDescent="0.35">
      <c r="B95">
        <f t="shared" si="7"/>
        <v>31.800000000000054</v>
      </c>
      <c r="C95">
        <f t="shared" si="8"/>
        <v>-66.760000000000105</v>
      </c>
      <c r="D95">
        <f t="shared" si="9"/>
        <v>-25.51999999999995</v>
      </c>
      <c r="E95">
        <f t="shared" si="5"/>
        <v>24.519208021565831</v>
      </c>
      <c r="F95">
        <f t="shared" si="6"/>
        <v>-35.679972282325153</v>
      </c>
    </row>
    <row r="96" spans="2:6" x14ac:dyDescent="0.35">
      <c r="B96">
        <f t="shared" si="7"/>
        <v>32.150000000000055</v>
      </c>
      <c r="C96">
        <f t="shared" si="8"/>
        <v>-67.530000000000101</v>
      </c>
      <c r="D96">
        <f t="shared" si="9"/>
        <v>-25.809999999999949</v>
      </c>
      <c r="E96">
        <f t="shared" si="5"/>
        <v>15.444868006415007</v>
      </c>
      <c r="F96">
        <f t="shared" si="6"/>
        <v>-88.677838393250852</v>
      </c>
    </row>
    <row r="97" spans="2:6" x14ac:dyDescent="0.35">
      <c r="B97">
        <f t="shared" si="7"/>
        <v>32.500000000000057</v>
      </c>
      <c r="C97">
        <f t="shared" si="8"/>
        <v>-68.300000000000097</v>
      </c>
      <c r="D97">
        <f t="shared" si="9"/>
        <v>-26.099999999999948</v>
      </c>
      <c r="E97">
        <f t="shared" si="5"/>
        <v>10.632232817694813</v>
      </c>
      <c r="F97">
        <f t="shared" si="6"/>
        <v>-132.94604772672756</v>
      </c>
    </row>
    <row r="98" spans="2:6" x14ac:dyDescent="0.35">
      <c r="B98">
        <f t="shared" si="7"/>
        <v>32.850000000000058</v>
      </c>
      <c r="C98">
        <f t="shared" si="8"/>
        <v>-69.070000000000093</v>
      </c>
      <c r="D98">
        <f t="shared" si="9"/>
        <v>-26.389999999999947</v>
      </c>
      <c r="E98">
        <f t="shared" si="5"/>
        <v>9.1376313170343408</v>
      </c>
      <c r="F98">
        <f t="shared" si="6"/>
        <v>-162.32328304121822</v>
      </c>
    </row>
    <row r="99" spans="2:6" x14ac:dyDescent="0.35">
      <c r="B99">
        <f t="shared" si="7"/>
        <v>33.20000000000006</v>
      </c>
      <c r="C99">
        <f t="shared" si="8"/>
        <v>-69.840000000000089</v>
      </c>
      <c r="D99">
        <f t="shared" si="9"/>
        <v>-26.679999999999946</v>
      </c>
      <c r="E99">
        <f t="shared" si="5"/>
        <v>8.9125332115752709</v>
      </c>
      <c r="F99">
        <f t="shared" si="6"/>
        <v>-172.54949564582802</v>
      </c>
    </row>
    <row r="100" spans="2:6" x14ac:dyDescent="0.35">
      <c r="B100">
        <f t="shared" si="7"/>
        <v>33.550000000000061</v>
      </c>
      <c r="C100">
        <f t="shared" si="8"/>
        <v>-70.610000000000085</v>
      </c>
      <c r="D100">
        <f t="shared" si="9"/>
        <v>-26.969999999999946</v>
      </c>
      <c r="E100">
        <f t="shared" si="5"/>
        <v>7.3354943613551349</v>
      </c>
      <c r="F100">
        <f t="shared" si="6"/>
        <v>-161.94385333337965</v>
      </c>
    </row>
    <row r="101" spans="2:6" x14ac:dyDescent="0.35">
      <c r="B101">
        <f t="shared" si="7"/>
        <v>33.900000000000063</v>
      </c>
      <c r="C101">
        <f t="shared" si="8"/>
        <v>-71.380000000000081</v>
      </c>
      <c r="D101">
        <f t="shared" si="9"/>
        <v>-27.259999999999945</v>
      </c>
      <c r="E101">
        <f t="shared" si="5"/>
        <v>1.8880459664485727</v>
      </c>
      <c r="F101">
        <f t="shared" si="6"/>
        <v>-131.69734996757478</v>
      </c>
    </row>
    <row r="102" spans="2:6" x14ac:dyDescent="0.35">
      <c r="B102">
        <f t="shared" si="7"/>
        <v>34.250000000000064</v>
      </c>
      <c r="C102">
        <f t="shared" si="8"/>
        <v>-72.150000000000077</v>
      </c>
      <c r="D102">
        <f t="shared" si="9"/>
        <v>-27.549999999999944</v>
      </c>
      <c r="E102">
        <f t="shared" si="5"/>
        <v>-9.161256509210034</v>
      </c>
      <c r="F102">
        <f t="shared" si="6"/>
        <v>-85.726135483535757</v>
      </c>
    </row>
    <row r="103" spans="2:6" x14ac:dyDescent="0.35">
      <c r="B103">
        <f t="shared" si="7"/>
        <v>34.600000000000065</v>
      </c>
      <c r="C103">
        <f t="shared" si="8"/>
        <v>-72.920000000000073</v>
      </c>
      <c r="D103">
        <f t="shared" si="9"/>
        <v>-27.839999999999943</v>
      </c>
      <c r="E103">
        <f t="shared" si="5"/>
        <v>-26.20621062970811</v>
      </c>
      <c r="F103">
        <f t="shared" si="6"/>
        <v>-30.103435920032481</v>
      </c>
    </row>
    <row r="104" spans="2:6" x14ac:dyDescent="0.35">
      <c r="B104">
        <f t="shared" si="7"/>
        <v>34.950000000000067</v>
      </c>
      <c r="C104">
        <f t="shared" si="8"/>
        <v>-73.690000000000069</v>
      </c>
      <c r="D104">
        <f t="shared" si="9"/>
        <v>-28.129999999999942</v>
      </c>
      <c r="E104">
        <f t="shared" si="5"/>
        <v>-48.006295998031071</v>
      </c>
      <c r="F104">
        <f t="shared" si="6"/>
        <v>27.842139021917021</v>
      </c>
    </row>
    <row r="105" spans="2:6" x14ac:dyDescent="0.35">
      <c r="B105">
        <f t="shared" si="7"/>
        <v>35.300000000000068</v>
      </c>
      <c r="C105">
        <f t="shared" si="8"/>
        <v>-74.460000000000065</v>
      </c>
      <c r="D105">
        <f t="shared" si="9"/>
        <v>-28.419999999999941</v>
      </c>
      <c r="E105">
        <f t="shared" si="5"/>
        <v>-71.719749597975323</v>
      </c>
      <c r="F105">
        <f t="shared" si="6"/>
        <v>80.618130056967075</v>
      </c>
    </row>
    <row r="106" spans="2:6" x14ac:dyDescent="0.35">
      <c r="B106">
        <f t="shared" si="7"/>
        <v>35.65000000000007</v>
      </c>
      <c r="C106">
        <f t="shared" si="8"/>
        <v>-75.230000000000061</v>
      </c>
      <c r="D106">
        <f t="shared" si="9"/>
        <v>-28.70999999999994</v>
      </c>
      <c r="E106">
        <f t="shared" si="5"/>
        <v>-93.281424259739822</v>
      </c>
      <c r="F106">
        <f t="shared" si="6"/>
        <v>121.67364887534934</v>
      </c>
    </row>
    <row r="107" spans="2:6" x14ac:dyDescent="0.35">
      <c r="B107">
        <f t="shared" si="7"/>
        <v>36.000000000000071</v>
      </c>
      <c r="C107">
        <f t="shared" si="8"/>
        <v>-76.000000000000057</v>
      </c>
      <c r="D107">
        <f t="shared" si="9"/>
        <v>-28.99999999999994</v>
      </c>
      <c r="E107">
        <f t="shared" si="5"/>
        <v>-108.07448924850701</v>
      </c>
      <c r="F107">
        <f t="shared" si="6"/>
        <v>146.34016400015918</v>
      </c>
    </row>
    <row r="108" spans="2:6" x14ac:dyDescent="0.35">
      <c r="B108">
        <f t="shared" si="7"/>
        <v>36.350000000000072</v>
      </c>
      <c r="C108">
        <f t="shared" si="8"/>
        <v>-76.770000000000053</v>
      </c>
      <c r="D108">
        <f t="shared" si="9"/>
        <v>-29.289999999999939</v>
      </c>
      <c r="E108">
        <f t="shared" si="5"/>
        <v>-111.78591089401596</v>
      </c>
      <c r="F108">
        <f t="shared" si="6"/>
        <v>152.45691830173615</v>
      </c>
    </row>
    <row r="109" spans="2:6" x14ac:dyDescent="0.35">
      <c r="B109">
        <f t="shared" si="7"/>
        <v>36.700000000000074</v>
      </c>
      <c r="C109">
        <f t="shared" si="8"/>
        <v>-77.540000000000049</v>
      </c>
      <c r="D109">
        <f t="shared" si="9"/>
        <v>-29.579999999999938</v>
      </c>
      <c r="E109">
        <f t="shared" si="5"/>
        <v>-101.29456372950763</v>
      </c>
      <c r="F109">
        <f t="shared" si="6"/>
        <v>140.58382325496086</v>
      </c>
    </row>
    <row r="110" spans="2:6" x14ac:dyDescent="0.35">
      <c r="B110">
        <f t="shared" si="7"/>
        <v>37.050000000000075</v>
      </c>
      <c r="C110">
        <f t="shared" si="8"/>
        <v>-78.310000000000045</v>
      </c>
      <c r="D110">
        <f t="shared" si="9"/>
        <v>-29.869999999999937</v>
      </c>
      <c r="E110">
        <f t="shared" si="5"/>
        <v>-75.425987178402252</v>
      </c>
      <c r="F110">
        <f t="shared" si="6"/>
        <v>113.77491732934715</v>
      </c>
    </row>
    <row r="111" spans="2:6" x14ac:dyDescent="0.35">
      <c r="B111">
        <f t="shared" si="7"/>
        <v>37.400000000000077</v>
      </c>
      <c r="C111">
        <f t="shared" si="8"/>
        <v>-79.080000000000041</v>
      </c>
      <c r="D111">
        <f t="shared" si="9"/>
        <v>-30.159999999999936</v>
      </c>
      <c r="E111">
        <f t="shared" si="5"/>
        <v>-35.422906016545895</v>
      </c>
      <c r="F111">
        <f t="shared" si="6"/>
        <v>76.960242371523208</v>
      </c>
    </row>
    <row r="112" spans="2:6" x14ac:dyDescent="0.35">
      <c r="B112">
        <f t="shared" si="7"/>
        <v>37.750000000000078</v>
      </c>
      <c r="C112">
        <f t="shared" si="8"/>
        <v>-79.850000000000037</v>
      </c>
      <c r="D112">
        <f t="shared" si="9"/>
        <v>-30.449999999999935</v>
      </c>
      <c r="E112">
        <f t="shared" si="5"/>
        <v>14.975963092039976</v>
      </c>
      <c r="F112">
        <f t="shared" si="6"/>
        <v>36.050241742031133</v>
      </c>
    </row>
    <row r="113" spans="2:6" x14ac:dyDescent="0.35">
      <c r="B113">
        <f t="shared" si="7"/>
        <v>38.10000000000008</v>
      </c>
      <c r="C113">
        <f t="shared" si="8"/>
        <v>-80.620000000000033</v>
      </c>
      <c r="D113">
        <f t="shared" si="9"/>
        <v>-30.739999999999934</v>
      </c>
      <c r="E113">
        <f t="shared" si="5"/>
        <v>69.891404873156858</v>
      </c>
      <c r="F113">
        <f t="shared" si="6"/>
        <v>-3.0771249141284756</v>
      </c>
    </row>
    <row r="114" spans="2:6" x14ac:dyDescent="0.35">
      <c r="B114">
        <f t="shared" si="7"/>
        <v>38.450000000000081</v>
      </c>
      <c r="C114">
        <f t="shared" si="8"/>
        <v>-81.390000000000029</v>
      </c>
      <c r="D114">
        <f t="shared" si="9"/>
        <v>-31.029999999999934</v>
      </c>
      <c r="E114">
        <f t="shared" si="5"/>
        <v>122.06060827076769</v>
      </c>
      <c r="F114">
        <f t="shared" si="6"/>
        <v>-35.52858506731274</v>
      </c>
    </row>
    <row r="115" spans="2:6" x14ac:dyDescent="0.35">
      <c r="B115">
        <f t="shared" si="7"/>
        <v>38.800000000000082</v>
      </c>
      <c r="C115">
        <f t="shared" si="8"/>
        <v>-82.160000000000025</v>
      </c>
      <c r="D115">
        <f t="shared" si="9"/>
        <v>-31.319999999999933</v>
      </c>
      <c r="E115">
        <f t="shared" si="5"/>
        <v>163.88967427640955</v>
      </c>
      <c r="F115">
        <f t="shared" si="6"/>
        <v>-58.122853365974827</v>
      </c>
    </row>
    <row r="116" spans="2:6" x14ac:dyDescent="0.35">
      <c r="B116">
        <f t="shared" si="7"/>
        <v>39.150000000000084</v>
      </c>
      <c r="C116">
        <f t="shared" si="8"/>
        <v>-82.930000000000021</v>
      </c>
      <c r="D116">
        <f t="shared" si="9"/>
        <v>-31.609999999999932</v>
      </c>
      <c r="E116">
        <f t="shared" si="5"/>
        <v>188.6386654372842</v>
      </c>
      <c r="F116">
        <f t="shared" si="6"/>
        <v>-69.771668046607289</v>
      </c>
    </row>
    <row r="117" spans="2:6" x14ac:dyDescent="0.35">
      <c r="B117">
        <f t="shared" si="7"/>
        <v>39.500000000000085</v>
      </c>
      <c r="C117">
        <f t="shared" si="8"/>
        <v>-83.700000000000017</v>
      </c>
      <c r="D117">
        <f t="shared" si="9"/>
        <v>-31.899999999999931</v>
      </c>
      <c r="E117">
        <f t="shared" si="5"/>
        <v>191.54522984728533</v>
      </c>
      <c r="F117">
        <f t="shared" si="6"/>
        <v>-71.457566214264759</v>
      </c>
    </row>
    <row r="118" spans="2:6" x14ac:dyDescent="0.35">
      <c r="B118">
        <f t="shared" si="7"/>
        <v>39.850000000000087</v>
      </c>
      <c r="C118">
        <f t="shared" si="8"/>
        <v>-84.470000000000013</v>
      </c>
      <c r="D118">
        <f t="shared" si="9"/>
        <v>-32.189999999999934</v>
      </c>
      <c r="E118">
        <f t="shared" si="5"/>
        <v>170.69461870078487</v>
      </c>
      <c r="F118">
        <f t="shared" si="6"/>
        <v>-65.825739239582902</v>
      </c>
    </row>
    <row r="119" spans="2:6" x14ac:dyDescent="0.35">
      <c r="B119">
        <f t="shared" si="7"/>
        <v>40.200000000000088</v>
      </c>
      <c r="C119">
        <f t="shared" si="8"/>
        <v>-85.240000000000009</v>
      </c>
      <c r="D119">
        <f t="shared" si="9"/>
        <v>-32.479999999999933</v>
      </c>
      <c r="E119">
        <f t="shared" si="5"/>
        <v>127.47912622273549</v>
      </c>
      <c r="F119">
        <f t="shared" si="6"/>
        <v>-56.478215723130084</v>
      </c>
    </row>
    <row r="120" spans="2:6" x14ac:dyDescent="0.35">
      <c r="B120">
        <f t="shared" si="7"/>
        <v>40.55000000000009</v>
      </c>
      <c r="C120">
        <f t="shared" si="8"/>
        <v>-86.01</v>
      </c>
      <c r="D120">
        <f t="shared" si="9"/>
        <v>-32.769999999999932</v>
      </c>
      <c r="E120">
        <f t="shared" si="5"/>
        <v>66.553476268896773</v>
      </c>
      <c r="F120">
        <f t="shared" si="6"/>
        <v>-47.113193843362609</v>
      </c>
    </row>
    <row r="121" spans="2:6" x14ac:dyDescent="0.35">
      <c r="B121">
        <f t="shared" si="7"/>
        <v>40.900000000000091</v>
      </c>
      <c r="C121">
        <f t="shared" si="8"/>
        <v>-86.78</v>
      </c>
      <c r="D121">
        <f t="shared" si="9"/>
        <v>-33.059999999999931</v>
      </c>
      <c r="E121">
        <f t="shared" si="5"/>
        <v>-4.7257796553952023</v>
      </c>
      <c r="F121">
        <f t="shared" si="6"/>
        <v>-40.680529171543199</v>
      </c>
    </row>
    <row r="122" spans="2:6" x14ac:dyDescent="0.35">
      <c r="B122">
        <f t="shared" si="7"/>
        <v>41.250000000000092</v>
      </c>
      <c r="C122">
        <f t="shared" si="8"/>
        <v>-87.55</v>
      </c>
      <c r="D122">
        <f t="shared" si="9"/>
        <v>-33.34999999999993</v>
      </c>
      <c r="E122">
        <f t="shared" si="5"/>
        <v>-77.302857014765209</v>
      </c>
      <c r="F122">
        <f t="shared" si="6"/>
        <v>-38.720813292290515</v>
      </c>
    </row>
    <row r="123" spans="2:6" x14ac:dyDescent="0.35">
      <c r="B123">
        <f t="shared" si="7"/>
        <v>41.600000000000094</v>
      </c>
      <c r="C123">
        <f t="shared" si="8"/>
        <v>-88.32</v>
      </c>
      <c r="D123">
        <f t="shared" si="9"/>
        <v>-33.63999999999993</v>
      </c>
      <c r="E123">
        <f t="shared" si="5"/>
        <v>-141.71774601647479</v>
      </c>
      <c r="F123">
        <f t="shared" si="6"/>
        <v>-41.020513516870892</v>
      </c>
    </row>
    <row r="124" spans="2:6" x14ac:dyDescent="0.35">
      <c r="B124">
        <f t="shared" si="7"/>
        <v>41.950000000000095</v>
      </c>
      <c r="C124">
        <f t="shared" si="8"/>
        <v>-89.089999999999989</v>
      </c>
      <c r="D124">
        <f t="shared" si="9"/>
        <v>-33.929999999999929</v>
      </c>
      <c r="E124">
        <f t="shared" si="5"/>
        <v>-189.49207188315415</v>
      </c>
      <c r="F124">
        <f t="shared" si="6"/>
        <v>-45.655384930341114</v>
      </c>
    </row>
    <row r="125" spans="2:6" x14ac:dyDescent="0.35">
      <c r="B125">
        <f t="shared" si="7"/>
        <v>42.300000000000097</v>
      </c>
      <c r="C125">
        <f t="shared" si="8"/>
        <v>-89.859999999999985</v>
      </c>
      <c r="D125">
        <f t="shared" si="9"/>
        <v>-34.219999999999928</v>
      </c>
      <c r="E125">
        <f t="shared" si="5"/>
        <v>-214.38528386683748</v>
      </c>
      <c r="F125">
        <f t="shared" si="6"/>
        <v>-49.419630229535606</v>
      </c>
    </row>
    <row r="126" spans="2:6" x14ac:dyDescent="0.35">
      <c r="B126">
        <f t="shared" si="7"/>
        <v>42.650000000000098</v>
      </c>
      <c r="C126">
        <f t="shared" si="8"/>
        <v>-90.629999999999981</v>
      </c>
      <c r="D126">
        <f t="shared" si="9"/>
        <v>-34.509999999999927</v>
      </c>
      <c r="E126">
        <f t="shared" si="5"/>
        <v>-213.31855924935257</v>
      </c>
      <c r="F126">
        <f t="shared" si="6"/>
        <v>-48.56271290408003</v>
      </c>
    </row>
    <row r="127" spans="2:6" x14ac:dyDescent="0.35">
      <c r="B127">
        <f t="shared" si="7"/>
        <v>43.000000000000099</v>
      </c>
      <c r="C127">
        <f t="shared" si="8"/>
        <v>-91.399999999999977</v>
      </c>
      <c r="D127">
        <f t="shared" si="9"/>
        <v>-34.799999999999926</v>
      </c>
      <c r="E127">
        <f t="shared" si="5"/>
        <v>-186.81611423898855</v>
      </c>
      <c r="F127">
        <f t="shared" si="6"/>
        <v>-39.693359486341009</v>
      </c>
    </row>
    <row r="128" spans="2:6" x14ac:dyDescent="0.35">
      <c r="B128">
        <f t="shared" si="7"/>
        <v>43.350000000000101</v>
      </c>
      <c r="C128">
        <f t="shared" si="8"/>
        <v>-92.169999999999973</v>
      </c>
      <c r="D128">
        <f t="shared" si="9"/>
        <v>-35.089999999999925</v>
      </c>
      <c r="E128">
        <f t="shared" si="5"/>
        <v>-138.89183561343515</v>
      </c>
      <c r="F128">
        <f t="shared" si="6"/>
        <v>-20.672996277834287</v>
      </c>
    </row>
    <row r="129" spans="2:6" x14ac:dyDescent="0.35">
      <c r="B129">
        <f t="shared" si="7"/>
        <v>43.700000000000102</v>
      </c>
      <c r="C129">
        <f t="shared" si="8"/>
        <v>-92.939999999999969</v>
      </c>
      <c r="D129">
        <f t="shared" si="9"/>
        <v>-35.379999999999924</v>
      </c>
      <c r="E129">
        <f t="shared" si="5"/>
        <v>-76.400196277124948</v>
      </c>
      <c r="F129">
        <f t="shared" si="6"/>
        <v>8.6838220512712212</v>
      </c>
    </row>
    <row r="130" spans="2:6" x14ac:dyDescent="0.35">
      <c r="B130">
        <f t="shared" si="7"/>
        <v>44.050000000000104</v>
      </c>
      <c r="C130">
        <f t="shared" si="8"/>
        <v>-93.709999999999965</v>
      </c>
      <c r="D130">
        <f t="shared" si="9"/>
        <v>-35.669999999999924</v>
      </c>
      <c r="E130">
        <f t="shared" si="5"/>
        <v>-7.9588208313894597</v>
      </c>
      <c r="F130">
        <f t="shared" si="6"/>
        <v>46.254808618110332</v>
      </c>
    </row>
    <row r="131" spans="2:6" x14ac:dyDescent="0.35">
      <c r="B131">
        <f t="shared" si="7"/>
        <v>44.400000000000105</v>
      </c>
      <c r="C131">
        <f t="shared" si="8"/>
        <v>-94.479999999999961</v>
      </c>
      <c r="D131">
        <f t="shared" si="9"/>
        <v>-35.959999999999923</v>
      </c>
      <c r="E131">
        <f t="shared" si="5"/>
        <v>57.379358853431256</v>
      </c>
      <c r="F131">
        <f t="shared" si="6"/>
        <v>87.69457300850658</v>
      </c>
    </row>
    <row r="132" spans="2:6" x14ac:dyDescent="0.35">
      <c r="B132">
        <f t="shared" si="7"/>
        <v>44.750000000000107</v>
      </c>
      <c r="C132">
        <f t="shared" si="8"/>
        <v>-95.249999999999957</v>
      </c>
      <c r="D132">
        <f t="shared" si="9"/>
        <v>-36.249999999999922</v>
      </c>
      <c r="E132">
        <f t="shared" si="5"/>
        <v>111.48590411781839</v>
      </c>
      <c r="F132">
        <f t="shared" si="6"/>
        <v>126.97278476744368</v>
      </c>
    </row>
    <row r="133" spans="2:6" x14ac:dyDescent="0.35">
      <c r="B133">
        <f t="shared" si="7"/>
        <v>45.100000000000108</v>
      </c>
      <c r="C133">
        <f t="shared" si="8"/>
        <v>-96.019999999999953</v>
      </c>
      <c r="D133">
        <f t="shared" si="9"/>
        <v>-36.539999999999921</v>
      </c>
      <c r="E133">
        <f t="shared" si="5"/>
        <v>148.32682268487036</v>
      </c>
      <c r="F133">
        <f t="shared" si="6"/>
        <v>157.29530925372106</v>
      </c>
    </row>
    <row r="134" spans="2:6" x14ac:dyDescent="0.35">
      <c r="B134">
        <f t="shared" si="7"/>
        <v>45.450000000000109</v>
      </c>
      <c r="C134">
        <f t="shared" si="8"/>
        <v>-96.789999999999949</v>
      </c>
      <c r="D134">
        <f t="shared" si="9"/>
        <v>-36.82999999999992</v>
      </c>
      <c r="E134">
        <f t="shared" si="5"/>
        <v>164.75536740347036</v>
      </c>
      <c r="F134">
        <f t="shared" si="6"/>
        <v>172.26248472171943</v>
      </c>
    </row>
    <row r="135" spans="2:6" x14ac:dyDescent="0.35">
      <c r="B135">
        <f t="shared" si="7"/>
        <v>45.800000000000111</v>
      </c>
      <c r="C135">
        <f t="shared" si="8"/>
        <v>-97.559999999999945</v>
      </c>
      <c r="D135">
        <f t="shared" si="9"/>
        <v>-37.119999999999919</v>
      </c>
      <c r="E135">
        <f t="shared" ref="E135:E198" si="10">(B135-C135)*COS(D135)+C135*COS((B135/C135-1)*D135)</f>
        <v>160.8067939465366</v>
      </c>
      <c r="F135">
        <f t="shared" ref="F135:F198" si="11">(B135-C135)*SIN(D135)+C135*SIN((B135/C135-1)*D135)</f>
        <v>167.06707071952758</v>
      </c>
    </row>
    <row r="136" spans="2:6" x14ac:dyDescent="0.35">
      <c r="B136">
        <f t="shared" ref="B136:B199" si="12">B135+$B$2</f>
        <v>46.150000000000112</v>
      </c>
      <c r="C136">
        <f t="shared" ref="C136:C199" si="13">C135+$B$3</f>
        <v>-98.329999999999941</v>
      </c>
      <c r="D136">
        <f t="shared" ref="D136:D199" si="14">D135+$B$4</f>
        <v>-37.409999999999918</v>
      </c>
      <c r="E136">
        <f t="shared" si="10"/>
        <v>139.4609965654883</v>
      </c>
      <c r="F136">
        <f t="shared" si="11"/>
        <v>139.51654184830755</v>
      </c>
    </row>
    <row r="137" spans="2:6" x14ac:dyDescent="0.35">
      <c r="B137">
        <f t="shared" si="12"/>
        <v>46.500000000000114</v>
      </c>
      <c r="C137">
        <f t="shared" si="13"/>
        <v>-99.099999999999937</v>
      </c>
      <c r="D137">
        <f t="shared" si="14"/>
        <v>-37.699999999999918</v>
      </c>
      <c r="E137">
        <f t="shared" si="10"/>
        <v>105.93096340589094</v>
      </c>
      <c r="F137">
        <f t="shared" si="11"/>
        <v>90.684681593003319</v>
      </c>
    </row>
    <row r="138" spans="2:6" x14ac:dyDescent="0.35">
      <c r="B138">
        <f t="shared" si="12"/>
        <v>46.850000000000115</v>
      </c>
      <c r="C138">
        <f t="shared" si="13"/>
        <v>-99.869999999999933</v>
      </c>
      <c r="D138">
        <f t="shared" si="14"/>
        <v>-37.989999999999917</v>
      </c>
      <c r="E138">
        <f t="shared" si="10"/>
        <v>66.616084676378691</v>
      </c>
      <c r="F138">
        <f t="shared" si="11"/>
        <v>25.053483442007057</v>
      </c>
    </row>
    <row r="139" spans="2:6" x14ac:dyDescent="0.35">
      <c r="B139">
        <f t="shared" si="12"/>
        <v>47.200000000000117</v>
      </c>
      <c r="C139">
        <f t="shared" si="13"/>
        <v>-100.63999999999993</v>
      </c>
      <c r="D139">
        <f t="shared" si="14"/>
        <v>-38.279999999999916</v>
      </c>
      <c r="E139">
        <f t="shared" si="10"/>
        <v>27.915232305114159</v>
      </c>
      <c r="F139">
        <f t="shared" si="11"/>
        <v>-49.910631224099191</v>
      </c>
    </row>
    <row r="140" spans="2:6" x14ac:dyDescent="0.35">
      <c r="B140">
        <f t="shared" si="12"/>
        <v>47.550000000000118</v>
      </c>
      <c r="C140">
        <f t="shared" si="13"/>
        <v>-101.40999999999993</v>
      </c>
      <c r="D140">
        <f t="shared" si="14"/>
        <v>-38.569999999999915</v>
      </c>
      <c r="E140">
        <f t="shared" si="10"/>
        <v>-4.8846501922484009</v>
      </c>
      <c r="F140">
        <f t="shared" si="11"/>
        <v>-124.70617682316356</v>
      </c>
    </row>
    <row r="141" spans="2:6" x14ac:dyDescent="0.35">
      <c r="B141">
        <f t="shared" si="12"/>
        <v>47.900000000000119</v>
      </c>
      <c r="C141">
        <f t="shared" si="13"/>
        <v>-102.17999999999992</v>
      </c>
      <c r="D141">
        <f t="shared" si="14"/>
        <v>-38.859999999999914</v>
      </c>
      <c r="E141">
        <f t="shared" si="10"/>
        <v>-28.446611294617334</v>
      </c>
      <c r="F141">
        <f t="shared" si="11"/>
        <v>-189.13881623571703</v>
      </c>
    </row>
    <row r="142" spans="2:6" x14ac:dyDescent="0.35">
      <c r="B142">
        <f t="shared" si="12"/>
        <v>48.250000000000121</v>
      </c>
      <c r="C142">
        <f t="shared" si="13"/>
        <v>-102.94999999999992</v>
      </c>
      <c r="D142">
        <f t="shared" si="14"/>
        <v>-39.149999999999913</v>
      </c>
      <c r="E142">
        <f t="shared" si="10"/>
        <v>-41.803955442602152</v>
      </c>
      <c r="F142">
        <f t="shared" si="11"/>
        <v>-233.85088915379157</v>
      </c>
    </row>
    <row r="143" spans="2:6" x14ac:dyDescent="0.35">
      <c r="B143">
        <f t="shared" si="12"/>
        <v>48.600000000000122</v>
      </c>
      <c r="C143">
        <f t="shared" si="13"/>
        <v>-103.71999999999991</v>
      </c>
      <c r="D143">
        <f t="shared" si="14"/>
        <v>-39.439999999999912</v>
      </c>
      <c r="E143">
        <f t="shared" si="10"/>
        <v>-46.297504767951771</v>
      </c>
      <c r="F143">
        <f t="shared" si="11"/>
        <v>-251.79304015773005</v>
      </c>
    </row>
    <row r="144" spans="2:6" x14ac:dyDescent="0.35">
      <c r="B144">
        <f t="shared" si="12"/>
        <v>48.950000000000124</v>
      </c>
      <c r="C144">
        <f t="shared" si="13"/>
        <v>-104.48999999999991</v>
      </c>
      <c r="D144">
        <f t="shared" si="14"/>
        <v>-39.729999999999912</v>
      </c>
      <c r="E144">
        <f t="shared" si="10"/>
        <v>-45.05545824693418</v>
      </c>
      <c r="F144">
        <f t="shared" si="11"/>
        <v>-239.39396150875808</v>
      </c>
    </row>
    <row r="145" spans="2:6" x14ac:dyDescent="0.35">
      <c r="B145">
        <f t="shared" si="12"/>
        <v>49.300000000000125</v>
      </c>
      <c r="C145">
        <f t="shared" si="13"/>
        <v>-105.25999999999991</v>
      </c>
      <c r="D145">
        <f t="shared" si="14"/>
        <v>-40.019999999999911</v>
      </c>
      <c r="E145">
        <f t="shared" si="10"/>
        <v>-42.127314302502334</v>
      </c>
      <c r="F145">
        <f t="shared" si="11"/>
        <v>-197.22722747402418</v>
      </c>
    </row>
    <row r="146" spans="2:6" x14ac:dyDescent="0.35">
      <c r="B146">
        <f t="shared" si="12"/>
        <v>49.650000000000126</v>
      </c>
      <c r="C146">
        <f t="shared" si="13"/>
        <v>-106.0299999999999</v>
      </c>
      <c r="D146">
        <f t="shared" si="14"/>
        <v>-40.30999999999991</v>
      </c>
      <c r="E146">
        <f t="shared" si="10"/>
        <v>-41.448538806894163</v>
      </c>
      <c r="F146">
        <f t="shared" si="11"/>
        <v>-130.05244656885233</v>
      </c>
    </row>
    <row r="147" spans="2:6" x14ac:dyDescent="0.35">
      <c r="B147">
        <f t="shared" si="12"/>
        <v>50.000000000000128</v>
      </c>
      <c r="C147">
        <f t="shared" si="13"/>
        <v>-106.7999999999999</v>
      </c>
      <c r="D147">
        <f t="shared" si="14"/>
        <v>-40.599999999999909</v>
      </c>
      <c r="E147">
        <f t="shared" si="10"/>
        <v>-45.845124696992201</v>
      </c>
      <c r="F147">
        <f t="shared" si="11"/>
        <v>-46.208784259273308</v>
      </c>
    </row>
    <row r="148" spans="2:6" x14ac:dyDescent="0.35">
      <c r="B148">
        <f t="shared" si="12"/>
        <v>50.350000000000129</v>
      </c>
      <c r="C148">
        <f t="shared" si="13"/>
        <v>-107.56999999999989</v>
      </c>
      <c r="D148">
        <f t="shared" si="14"/>
        <v>-40.889999999999908</v>
      </c>
      <c r="E148">
        <f t="shared" si="10"/>
        <v>-56.280638456794151</v>
      </c>
      <c r="F148">
        <f t="shared" si="11"/>
        <v>43.554555132201415</v>
      </c>
    </row>
    <row r="149" spans="2:6" x14ac:dyDescent="0.35">
      <c r="B149">
        <f t="shared" si="12"/>
        <v>50.700000000000131</v>
      </c>
      <c r="C149">
        <f t="shared" si="13"/>
        <v>-108.33999999999989</v>
      </c>
      <c r="D149">
        <f t="shared" si="14"/>
        <v>-41.179999999999907</v>
      </c>
      <c r="E149">
        <f t="shared" si="10"/>
        <v>-71.50355886259959</v>
      </c>
      <c r="F149">
        <f t="shared" si="11"/>
        <v>127.63219658830864</v>
      </c>
    </row>
    <row r="150" spans="2:6" x14ac:dyDescent="0.35">
      <c r="B150">
        <f t="shared" si="12"/>
        <v>51.050000000000132</v>
      </c>
      <c r="C150">
        <f t="shared" si="13"/>
        <v>-109.10999999999989</v>
      </c>
      <c r="D150">
        <f t="shared" si="14"/>
        <v>-41.469999999999906</v>
      </c>
      <c r="E150">
        <f t="shared" si="10"/>
        <v>-88.177451738587536</v>
      </c>
      <c r="F150">
        <f t="shared" si="11"/>
        <v>195.25672919184137</v>
      </c>
    </row>
    <row r="151" spans="2:6" x14ac:dyDescent="0.35">
      <c r="B151">
        <f t="shared" si="12"/>
        <v>51.400000000000134</v>
      </c>
      <c r="C151">
        <f t="shared" si="13"/>
        <v>-109.87999999999988</v>
      </c>
      <c r="D151">
        <f t="shared" si="14"/>
        <v>-41.759999999999906</v>
      </c>
      <c r="E151">
        <f t="shared" si="10"/>
        <v>-101.48424035790336</v>
      </c>
      <c r="F151">
        <f t="shared" si="11"/>
        <v>238.06388128065379</v>
      </c>
    </row>
    <row r="152" spans="2:6" x14ac:dyDescent="0.35">
      <c r="B152">
        <f t="shared" si="12"/>
        <v>51.750000000000135</v>
      </c>
      <c r="C152">
        <f t="shared" si="13"/>
        <v>-110.64999999999988</v>
      </c>
      <c r="D152">
        <f t="shared" si="14"/>
        <v>-42.049999999999905</v>
      </c>
      <c r="E152">
        <f t="shared" si="10"/>
        <v>-106.09830510642828</v>
      </c>
      <c r="F152">
        <f t="shared" si="11"/>
        <v>251.27934800792553</v>
      </c>
    </row>
    <row r="153" spans="2:6" x14ac:dyDescent="0.35">
      <c r="B153">
        <f t="shared" si="12"/>
        <v>52.100000000000136</v>
      </c>
      <c r="C153">
        <f t="shared" si="13"/>
        <v>-111.41999999999987</v>
      </c>
      <c r="D153">
        <f t="shared" si="14"/>
        <v>-42.339999999999904</v>
      </c>
      <c r="E153">
        <f t="shared" si="10"/>
        <v>-97.353503303083841</v>
      </c>
      <c r="F153">
        <f t="shared" si="11"/>
        <v>234.33971668909211</v>
      </c>
    </row>
    <row r="154" spans="2:6" x14ac:dyDescent="0.35">
      <c r="B154">
        <f t="shared" si="12"/>
        <v>52.450000000000138</v>
      </c>
      <c r="C154">
        <f t="shared" si="13"/>
        <v>-112.18999999999987</v>
      </c>
      <c r="D154">
        <f t="shared" si="14"/>
        <v>-42.629999999999903</v>
      </c>
      <c r="E154">
        <f t="shared" si="10"/>
        <v>-72.380814691824938</v>
      </c>
      <c r="F154">
        <f t="shared" si="11"/>
        <v>190.85349374847917</v>
      </c>
    </row>
    <row r="155" spans="2:6" x14ac:dyDescent="0.35">
      <c r="B155">
        <f t="shared" si="12"/>
        <v>52.800000000000139</v>
      </c>
      <c r="C155">
        <f t="shared" si="13"/>
        <v>-112.95999999999987</v>
      </c>
      <c r="D155">
        <f t="shared" si="14"/>
        <v>-42.919999999999902</v>
      </c>
      <c r="E155">
        <f t="shared" si="10"/>
        <v>-30.990161684626614</v>
      </c>
      <c r="F155">
        <f t="shared" si="11"/>
        <v>127.91768261046197</v>
      </c>
    </row>
    <row r="156" spans="2:6" x14ac:dyDescent="0.35">
      <c r="B156">
        <f t="shared" si="12"/>
        <v>53.150000000000141</v>
      </c>
      <c r="C156">
        <f t="shared" si="13"/>
        <v>-113.72999999999986</v>
      </c>
      <c r="D156">
        <f t="shared" si="14"/>
        <v>-43.209999999999901</v>
      </c>
      <c r="E156">
        <f t="shared" si="10"/>
        <v>23.892129301069374</v>
      </c>
      <c r="F156">
        <f t="shared" si="11"/>
        <v>54.911999273425607</v>
      </c>
    </row>
    <row r="157" spans="2:6" x14ac:dyDescent="0.35">
      <c r="B157">
        <f t="shared" si="12"/>
        <v>53.500000000000142</v>
      </c>
      <c r="C157">
        <f t="shared" si="13"/>
        <v>-114.49999999999986</v>
      </c>
      <c r="D157">
        <f t="shared" si="14"/>
        <v>-43.499999999999901</v>
      </c>
      <c r="E157">
        <f t="shared" si="10"/>
        <v>86.344523714725796</v>
      </c>
      <c r="F157">
        <f t="shared" si="11"/>
        <v>-18.021671242672056</v>
      </c>
    </row>
    <row r="158" spans="2:6" x14ac:dyDescent="0.35">
      <c r="B158">
        <f t="shared" si="12"/>
        <v>53.850000000000144</v>
      </c>
      <c r="C158">
        <f t="shared" si="13"/>
        <v>-115.26999999999985</v>
      </c>
      <c r="D158">
        <f t="shared" si="14"/>
        <v>-43.7899999999999</v>
      </c>
      <c r="E158">
        <f t="shared" si="10"/>
        <v>148.14635014312401</v>
      </c>
      <c r="F158">
        <f t="shared" si="11"/>
        <v>-81.557305917468028</v>
      </c>
    </row>
    <row r="159" spans="2:6" x14ac:dyDescent="0.35">
      <c r="B159">
        <f t="shared" si="12"/>
        <v>54.200000000000145</v>
      </c>
      <c r="C159">
        <f t="shared" si="13"/>
        <v>-116.03999999999985</v>
      </c>
      <c r="D159">
        <f t="shared" si="14"/>
        <v>-44.079999999999899</v>
      </c>
      <c r="E159">
        <f t="shared" si="10"/>
        <v>199.96012781913825</v>
      </c>
      <c r="F159">
        <f t="shared" si="11"/>
        <v>-128.55770963751746</v>
      </c>
    </row>
    <row r="160" spans="2:6" x14ac:dyDescent="0.35">
      <c r="B160">
        <f t="shared" si="12"/>
        <v>54.550000000000146</v>
      </c>
      <c r="C160">
        <f t="shared" si="13"/>
        <v>-116.80999999999985</v>
      </c>
      <c r="D160">
        <f t="shared" si="14"/>
        <v>-44.369999999999898</v>
      </c>
      <c r="E160">
        <f t="shared" si="10"/>
        <v>232.81866942830101</v>
      </c>
      <c r="F160">
        <f t="shared" si="11"/>
        <v>-155.01978708094296</v>
      </c>
    </row>
    <row r="161" spans="2:6" x14ac:dyDescent="0.35">
      <c r="B161">
        <f t="shared" si="12"/>
        <v>54.900000000000148</v>
      </c>
      <c r="C161">
        <f t="shared" si="13"/>
        <v>-117.57999999999984</v>
      </c>
      <c r="D161">
        <f t="shared" si="14"/>
        <v>-44.659999999999897</v>
      </c>
      <c r="E161">
        <f t="shared" si="10"/>
        <v>239.67165115082491</v>
      </c>
      <c r="F161">
        <f t="shared" si="11"/>
        <v>-160.44752764350483</v>
      </c>
    </row>
    <row r="162" spans="2:6" x14ac:dyDescent="0.35">
      <c r="B162">
        <f t="shared" si="12"/>
        <v>55.250000000000149</v>
      </c>
      <c r="C162">
        <f t="shared" si="13"/>
        <v>-118.34999999999984</v>
      </c>
      <c r="D162">
        <f t="shared" si="14"/>
        <v>-44.949999999999896</v>
      </c>
      <c r="E162">
        <f t="shared" si="10"/>
        <v>216.72385173257311</v>
      </c>
      <c r="F162">
        <f t="shared" si="11"/>
        <v>-147.6104641529362</v>
      </c>
    </row>
    <row r="163" spans="2:6" x14ac:dyDescent="0.35">
      <c r="B163">
        <f t="shared" si="12"/>
        <v>55.600000000000151</v>
      </c>
      <c r="C163">
        <f t="shared" si="13"/>
        <v>-119.11999999999983</v>
      </c>
      <c r="D163">
        <f t="shared" si="14"/>
        <v>-45.239999999999895</v>
      </c>
      <c r="E163">
        <f t="shared" si="10"/>
        <v>164.32136078255056</v>
      </c>
      <c r="F163">
        <f t="shared" si="11"/>
        <v>-121.75394095379696</v>
      </c>
    </row>
    <row r="164" spans="2:6" x14ac:dyDescent="0.35">
      <c r="B164">
        <f t="shared" si="12"/>
        <v>55.950000000000152</v>
      </c>
      <c r="C164">
        <f t="shared" si="13"/>
        <v>-119.88999999999983</v>
      </c>
      <c r="D164">
        <f t="shared" si="14"/>
        <v>-45.529999999999895</v>
      </c>
      <c r="E164">
        <f t="shared" si="10"/>
        <v>87.209860903196102</v>
      </c>
      <c r="F164">
        <f t="shared" si="11"/>
        <v>-89.423103750130508</v>
      </c>
    </row>
    <row r="165" spans="2:6" x14ac:dyDescent="0.35">
      <c r="B165">
        <f t="shared" si="12"/>
        <v>56.300000000000153</v>
      </c>
      <c r="C165">
        <f t="shared" si="13"/>
        <v>-120.65999999999983</v>
      </c>
      <c r="D165">
        <f t="shared" si="14"/>
        <v>-45.819999999999894</v>
      </c>
      <c r="E165">
        <f t="shared" si="10"/>
        <v>-5.9100778216287395</v>
      </c>
      <c r="F165">
        <f t="shared" si="11"/>
        <v>-57.128162277196154</v>
      </c>
    </row>
    <row r="166" spans="2:6" x14ac:dyDescent="0.35">
      <c r="B166">
        <f t="shared" si="12"/>
        <v>56.650000000000155</v>
      </c>
      <c r="C166">
        <f t="shared" si="13"/>
        <v>-121.42999999999982</v>
      </c>
      <c r="D166">
        <f t="shared" si="14"/>
        <v>-46.109999999999893</v>
      </c>
      <c r="E166">
        <f t="shared" si="10"/>
        <v>-103.48863233431767</v>
      </c>
      <c r="F166">
        <f t="shared" si="11"/>
        <v>-30.102538761122503</v>
      </c>
    </row>
    <row r="167" spans="2:6" x14ac:dyDescent="0.35">
      <c r="B167">
        <f t="shared" si="12"/>
        <v>57.000000000000156</v>
      </c>
      <c r="C167">
        <f t="shared" si="13"/>
        <v>-122.19999999999982</v>
      </c>
      <c r="D167">
        <f t="shared" si="14"/>
        <v>-46.399999999999892</v>
      </c>
      <c r="E167">
        <f t="shared" si="10"/>
        <v>-192.73780433158083</v>
      </c>
      <c r="F167">
        <f t="shared" si="11"/>
        <v>-11.383765380181458</v>
      </c>
    </row>
    <row r="168" spans="2:6" x14ac:dyDescent="0.35">
      <c r="B168">
        <f t="shared" si="12"/>
        <v>57.350000000000158</v>
      </c>
      <c r="C168">
        <f t="shared" si="13"/>
        <v>-122.96999999999981</v>
      </c>
      <c r="D168">
        <f t="shared" si="14"/>
        <v>-46.689999999999891</v>
      </c>
      <c r="E168">
        <f t="shared" si="10"/>
        <v>-261.5024847988027</v>
      </c>
      <c r="F168">
        <f t="shared" si="11"/>
        <v>-1.3834015900997372</v>
      </c>
    </row>
    <row r="169" spans="2:6" x14ac:dyDescent="0.35">
      <c r="B169">
        <f t="shared" si="12"/>
        <v>57.700000000000159</v>
      </c>
      <c r="C169">
        <f t="shared" si="13"/>
        <v>-123.73999999999981</v>
      </c>
      <c r="D169">
        <f t="shared" si="14"/>
        <v>-46.97999999999989</v>
      </c>
      <c r="E169">
        <f t="shared" si="10"/>
        <v>-300.09561055270041</v>
      </c>
      <c r="F169">
        <f t="shared" si="11"/>
        <v>1.9816770452043393</v>
      </c>
    </row>
    <row r="170" spans="2:6" x14ac:dyDescent="0.35">
      <c r="B170">
        <f t="shared" si="12"/>
        <v>58.050000000000161</v>
      </c>
      <c r="C170">
        <f t="shared" si="13"/>
        <v>-124.50999999999981</v>
      </c>
      <c r="D170">
        <f t="shared" si="14"/>
        <v>-47.269999999999889</v>
      </c>
      <c r="E170">
        <f t="shared" si="10"/>
        <v>-302.80012001903077</v>
      </c>
      <c r="F170">
        <f t="shared" si="11"/>
        <v>2.6314618503525509</v>
      </c>
    </row>
    <row r="171" spans="2:6" x14ac:dyDescent="0.35">
      <c r="B171">
        <f t="shared" si="12"/>
        <v>58.400000000000162</v>
      </c>
      <c r="C171">
        <f t="shared" si="13"/>
        <v>-125.2799999999998</v>
      </c>
      <c r="D171">
        <f t="shared" si="14"/>
        <v>-47.559999999999889</v>
      </c>
      <c r="E171">
        <f t="shared" si="10"/>
        <v>-268.78922737289736</v>
      </c>
      <c r="F171">
        <f t="shared" si="11"/>
        <v>5.2742136415035787</v>
      </c>
    </row>
    <row r="172" spans="2:6" x14ac:dyDescent="0.35">
      <c r="B172">
        <f t="shared" si="12"/>
        <v>58.750000000000163</v>
      </c>
      <c r="C172">
        <f t="shared" si="13"/>
        <v>-126.0499999999998</v>
      </c>
      <c r="D172">
        <f t="shared" si="14"/>
        <v>-47.849999999999888</v>
      </c>
      <c r="E172">
        <f t="shared" si="10"/>
        <v>-202.30805241754024</v>
      </c>
      <c r="F172">
        <f t="shared" si="11"/>
        <v>14.178865441175191</v>
      </c>
    </row>
    <row r="173" spans="2:6" x14ac:dyDescent="0.35">
      <c r="B173">
        <f t="shared" si="12"/>
        <v>59.100000000000165</v>
      </c>
      <c r="C173">
        <f t="shared" si="13"/>
        <v>-126.81999999999979</v>
      </c>
      <c r="D173">
        <f t="shared" si="14"/>
        <v>-48.139999999999887</v>
      </c>
      <c r="E173">
        <f t="shared" si="10"/>
        <v>-112.07887286584426</v>
      </c>
      <c r="F173">
        <f t="shared" si="11"/>
        <v>32.017130713648342</v>
      </c>
    </row>
    <row r="174" spans="2:6" x14ac:dyDescent="0.35">
      <c r="B174">
        <f t="shared" si="12"/>
        <v>59.450000000000166</v>
      </c>
      <c r="C174">
        <f t="shared" si="13"/>
        <v>-127.58999999999979</v>
      </c>
      <c r="D174">
        <f t="shared" si="14"/>
        <v>-48.429999999999886</v>
      </c>
      <c r="E174">
        <f t="shared" si="10"/>
        <v>-10.019228082131434</v>
      </c>
      <c r="F174">
        <f t="shared" si="11"/>
        <v>59.014566001546072</v>
      </c>
    </row>
    <row r="175" spans="2:6" x14ac:dyDescent="0.35">
      <c r="B175">
        <f t="shared" si="12"/>
        <v>59.800000000000168</v>
      </c>
      <c r="C175">
        <f t="shared" si="13"/>
        <v>-128.35999999999979</v>
      </c>
      <c r="D175">
        <f t="shared" si="14"/>
        <v>-48.719999999999885</v>
      </c>
      <c r="E175">
        <f t="shared" si="10"/>
        <v>90.524748784488864</v>
      </c>
      <c r="F175">
        <f t="shared" si="11"/>
        <v>92.595085758913257</v>
      </c>
    </row>
    <row r="176" spans="2:6" x14ac:dyDescent="0.35">
      <c r="B176">
        <f t="shared" si="12"/>
        <v>60.150000000000169</v>
      </c>
      <c r="C176">
        <f t="shared" si="13"/>
        <v>-129.1299999999998</v>
      </c>
      <c r="D176">
        <f t="shared" si="14"/>
        <v>-49.009999999999884</v>
      </c>
      <c r="E176">
        <f t="shared" si="10"/>
        <v>176.7474492573414</v>
      </c>
      <c r="F176">
        <f t="shared" si="11"/>
        <v>127.61274255417329</v>
      </c>
    </row>
    <row r="177" spans="2:6" x14ac:dyDescent="0.35">
      <c r="B177">
        <f t="shared" si="12"/>
        <v>60.500000000000171</v>
      </c>
      <c r="C177">
        <f t="shared" si="13"/>
        <v>-129.89999999999981</v>
      </c>
      <c r="D177">
        <f t="shared" si="14"/>
        <v>-49.299999999999883</v>
      </c>
      <c r="E177">
        <f t="shared" si="10"/>
        <v>238.24013621357071</v>
      </c>
      <c r="F177">
        <f t="shared" si="11"/>
        <v>157.15402894765322</v>
      </c>
    </row>
    <row r="178" spans="2:6" x14ac:dyDescent="0.35">
      <c r="B178">
        <f t="shared" si="12"/>
        <v>60.850000000000172</v>
      </c>
      <c r="C178">
        <f t="shared" si="13"/>
        <v>-130.66999999999982</v>
      </c>
      <c r="D178">
        <f t="shared" si="14"/>
        <v>-49.589999999999883</v>
      </c>
      <c r="E178">
        <f t="shared" si="10"/>
        <v>268.43927001300392</v>
      </c>
      <c r="F178">
        <f t="shared" si="11"/>
        <v>173.78349061421761</v>
      </c>
    </row>
    <row r="179" spans="2:6" x14ac:dyDescent="0.35">
      <c r="B179">
        <f t="shared" si="12"/>
        <v>61.200000000000173</v>
      </c>
      <c r="C179">
        <f t="shared" si="13"/>
        <v>-131.43999999999983</v>
      </c>
      <c r="D179">
        <f t="shared" si="14"/>
        <v>-49.879999999999882</v>
      </c>
      <c r="E179">
        <f t="shared" si="10"/>
        <v>265.44115960512806</v>
      </c>
      <c r="F179">
        <f t="shared" si="11"/>
        <v>171.01538692396406</v>
      </c>
    </row>
    <row r="180" spans="2:6" x14ac:dyDescent="0.35">
      <c r="B180">
        <f t="shared" si="12"/>
        <v>61.550000000000175</v>
      </c>
      <c r="C180">
        <f t="shared" si="13"/>
        <v>-132.20999999999984</v>
      </c>
      <c r="D180">
        <f t="shared" si="14"/>
        <v>-50.169999999999881</v>
      </c>
      <c r="E180">
        <f t="shared" si="10"/>
        <v>232.06465899273809</v>
      </c>
      <c r="F180">
        <f t="shared" si="11"/>
        <v>144.74152082331261</v>
      </c>
    </row>
    <row r="181" spans="2:6" x14ac:dyDescent="0.35">
      <c r="B181">
        <f t="shared" si="12"/>
        <v>61.900000000000176</v>
      </c>
      <c r="C181">
        <f t="shared" si="13"/>
        <v>-132.97999999999985</v>
      </c>
      <c r="D181">
        <f t="shared" si="14"/>
        <v>-50.45999999999988</v>
      </c>
      <c r="E181">
        <f t="shared" si="10"/>
        <v>175.1703663064219</v>
      </c>
      <c r="F181">
        <f t="shared" si="11"/>
        <v>94.340787873341654</v>
      </c>
    </row>
    <row r="182" spans="2:6" x14ac:dyDescent="0.35">
      <c r="B182">
        <f t="shared" si="12"/>
        <v>62.250000000000178</v>
      </c>
      <c r="C182">
        <f t="shared" si="13"/>
        <v>-133.74999999999986</v>
      </c>
      <c r="D182">
        <f t="shared" si="14"/>
        <v>-50.749999999999879</v>
      </c>
      <c r="E182">
        <f t="shared" si="10"/>
        <v>104.36906022646244</v>
      </c>
      <c r="F182">
        <f t="shared" si="11"/>
        <v>23.241621038872665</v>
      </c>
    </row>
    <row r="183" spans="2:6" x14ac:dyDescent="0.35">
      <c r="B183">
        <f t="shared" si="12"/>
        <v>62.600000000000179</v>
      </c>
      <c r="C183">
        <f t="shared" si="13"/>
        <v>-134.51999999999987</v>
      </c>
      <c r="D183">
        <f t="shared" si="14"/>
        <v>-51.039999999999878</v>
      </c>
      <c r="E183">
        <f t="shared" si="10"/>
        <v>30.35249696568836</v>
      </c>
      <c r="F183">
        <f t="shared" si="11"/>
        <v>-61.202504903897406</v>
      </c>
    </row>
    <row r="184" spans="2:6" x14ac:dyDescent="0.35">
      <c r="B184">
        <f t="shared" si="12"/>
        <v>62.95000000000018</v>
      </c>
      <c r="C184">
        <f t="shared" si="13"/>
        <v>-135.28999999999988</v>
      </c>
      <c r="D184">
        <f t="shared" si="14"/>
        <v>-51.329999999999878</v>
      </c>
      <c r="E184">
        <f t="shared" si="10"/>
        <v>-36.861096171577358</v>
      </c>
      <c r="F184">
        <f t="shared" si="11"/>
        <v>-148.54678060144315</v>
      </c>
    </row>
    <row r="185" spans="2:6" x14ac:dyDescent="0.35">
      <c r="B185">
        <f t="shared" si="12"/>
        <v>63.300000000000182</v>
      </c>
      <c r="C185">
        <f t="shared" si="13"/>
        <v>-136.05999999999989</v>
      </c>
      <c r="D185">
        <f t="shared" si="14"/>
        <v>-51.619999999999877</v>
      </c>
      <c r="E185">
        <f t="shared" si="10"/>
        <v>-89.466554902003224</v>
      </c>
      <c r="F185">
        <f t="shared" si="11"/>
        <v>-226.69435314425684</v>
      </c>
    </row>
    <row r="186" spans="2:6" x14ac:dyDescent="0.35">
      <c r="B186">
        <f t="shared" si="12"/>
        <v>63.650000000000183</v>
      </c>
      <c r="C186">
        <f t="shared" si="13"/>
        <v>-136.8299999999999</v>
      </c>
      <c r="D186">
        <f t="shared" si="14"/>
        <v>-51.909999999999876</v>
      </c>
      <c r="E186">
        <f t="shared" si="10"/>
        <v>-122.94050650141247</v>
      </c>
      <c r="F186">
        <f t="shared" si="11"/>
        <v>-283.72554450456772</v>
      </c>
    </row>
    <row r="187" spans="2:6" x14ac:dyDescent="0.35">
      <c r="B187">
        <f t="shared" si="12"/>
        <v>64.000000000000185</v>
      </c>
      <c r="C187">
        <f t="shared" si="13"/>
        <v>-137.59999999999991</v>
      </c>
      <c r="D187">
        <f t="shared" si="14"/>
        <v>-52.199999999999875</v>
      </c>
      <c r="E187">
        <f t="shared" si="10"/>
        <v>-136.4721806670922</v>
      </c>
      <c r="F187">
        <f t="shared" si="11"/>
        <v>-309.82344201305341</v>
      </c>
    </row>
    <row r="188" spans="2:6" x14ac:dyDescent="0.35">
      <c r="B188">
        <f t="shared" si="12"/>
        <v>64.350000000000179</v>
      </c>
      <c r="C188">
        <f t="shared" si="13"/>
        <v>-138.36999999999992</v>
      </c>
      <c r="D188">
        <f t="shared" si="14"/>
        <v>-52.489999999999874</v>
      </c>
      <c r="E188">
        <f t="shared" si="10"/>
        <v>-132.70627511678845</v>
      </c>
      <c r="F188">
        <f t="shared" si="11"/>
        <v>-298.97322019802698</v>
      </c>
    </row>
    <row r="189" spans="2:6" x14ac:dyDescent="0.35">
      <c r="B189">
        <f t="shared" si="12"/>
        <v>64.700000000000173</v>
      </c>
      <c r="C189">
        <f t="shared" si="13"/>
        <v>-139.13999999999993</v>
      </c>
      <c r="D189">
        <f t="shared" si="14"/>
        <v>-52.779999999999873</v>
      </c>
      <c r="E189">
        <f t="shared" si="10"/>
        <v>-116.8723602410933</v>
      </c>
      <c r="F189">
        <f t="shared" si="11"/>
        <v>-250.13868835523812</v>
      </c>
    </row>
    <row r="190" spans="2:6" x14ac:dyDescent="0.35">
      <c r="B190">
        <f t="shared" si="12"/>
        <v>65.050000000000168</v>
      </c>
      <c r="C190">
        <f t="shared" si="13"/>
        <v>-139.90999999999994</v>
      </c>
      <c r="D190">
        <f t="shared" si="14"/>
        <v>-53.069999999999872</v>
      </c>
      <c r="E190">
        <f t="shared" si="10"/>
        <v>-95.484986475242138</v>
      </c>
      <c r="F190">
        <f t="shared" si="11"/>
        <v>-167.69775802110422</v>
      </c>
    </row>
    <row r="191" spans="2:6" x14ac:dyDescent="0.35">
      <c r="B191">
        <f t="shared" si="12"/>
        <v>65.400000000000162</v>
      </c>
      <c r="C191">
        <f t="shared" si="13"/>
        <v>-140.67999999999995</v>
      </c>
      <c r="D191">
        <f t="shared" si="14"/>
        <v>-53.359999999999872</v>
      </c>
      <c r="E191">
        <f t="shared" si="10"/>
        <v>-74.873874791957718</v>
      </c>
      <c r="F191">
        <f t="shared" si="11"/>
        <v>-61.036452814281994</v>
      </c>
    </row>
    <row r="192" spans="2:6" x14ac:dyDescent="0.35">
      <c r="B192">
        <f t="shared" si="12"/>
        <v>65.750000000000156</v>
      </c>
      <c r="C192">
        <f t="shared" si="13"/>
        <v>-141.44999999999996</v>
      </c>
      <c r="D192">
        <f t="shared" si="14"/>
        <v>-53.649999999999871</v>
      </c>
      <c r="E192">
        <f t="shared" si="10"/>
        <v>-59.830835731583676</v>
      </c>
      <c r="F192">
        <f t="shared" si="11"/>
        <v>56.66077263224615</v>
      </c>
    </row>
    <row r="193" spans="2:6" x14ac:dyDescent="0.35">
      <c r="B193">
        <f t="shared" si="12"/>
        <v>66.100000000000151</v>
      </c>
      <c r="C193">
        <f t="shared" si="13"/>
        <v>-142.21999999999997</v>
      </c>
      <c r="D193">
        <f t="shared" si="14"/>
        <v>-53.93999999999987</v>
      </c>
      <c r="E193">
        <f t="shared" si="10"/>
        <v>-52.634468381469986</v>
      </c>
      <c r="F193">
        <f t="shared" si="11"/>
        <v>170.25166968733816</v>
      </c>
    </row>
    <row r="194" spans="2:6" x14ac:dyDescent="0.35">
      <c r="B194">
        <f t="shared" si="12"/>
        <v>66.450000000000145</v>
      </c>
      <c r="C194">
        <f t="shared" si="13"/>
        <v>-142.98999999999998</v>
      </c>
      <c r="D194">
        <f t="shared" si="14"/>
        <v>-54.229999999999869</v>
      </c>
      <c r="E194">
        <f t="shared" si="10"/>
        <v>-52.639839937949077</v>
      </c>
      <c r="F194">
        <f t="shared" si="11"/>
        <v>264.82650679163009</v>
      </c>
    </row>
    <row r="195" spans="2:6" x14ac:dyDescent="0.35">
      <c r="B195">
        <f t="shared" si="12"/>
        <v>66.800000000000139</v>
      </c>
      <c r="C195">
        <f t="shared" si="13"/>
        <v>-143.76</v>
      </c>
      <c r="D195">
        <f t="shared" si="14"/>
        <v>-54.519999999999868</v>
      </c>
      <c r="E195">
        <f t="shared" si="10"/>
        <v>-56.511587305749572</v>
      </c>
      <c r="F195">
        <f t="shared" si="11"/>
        <v>327.90368887120042</v>
      </c>
    </row>
    <row r="196" spans="2:6" x14ac:dyDescent="0.35">
      <c r="B196">
        <f t="shared" si="12"/>
        <v>67.150000000000134</v>
      </c>
      <c r="C196">
        <f t="shared" si="13"/>
        <v>-144.53</v>
      </c>
      <c r="D196">
        <f t="shared" si="14"/>
        <v>-54.809999999999867</v>
      </c>
      <c r="E196">
        <f t="shared" si="10"/>
        <v>-59.054975622678796</v>
      </c>
      <c r="F196">
        <f t="shared" si="11"/>
        <v>351.28016236849209</v>
      </c>
    </row>
    <row r="197" spans="2:6" x14ac:dyDescent="0.35">
      <c r="B197">
        <f t="shared" si="12"/>
        <v>67.500000000000128</v>
      </c>
      <c r="C197">
        <f t="shared" si="13"/>
        <v>-145.30000000000001</v>
      </c>
      <c r="D197">
        <f t="shared" si="14"/>
        <v>-55.099999999999866</v>
      </c>
      <c r="E197">
        <f t="shared" si="10"/>
        <v>-54.483066297404186</v>
      </c>
      <c r="F197">
        <f t="shared" si="11"/>
        <v>332.2386470740089</v>
      </c>
    </row>
    <row r="198" spans="2:6" x14ac:dyDescent="0.35">
      <c r="B198">
        <f t="shared" si="12"/>
        <v>67.850000000000122</v>
      </c>
      <c r="C198">
        <f t="shared" si="13"/>
        <v>-146.07000000000002</v>
      </c>
      <c r="D198">
        <f t="shared" si="14"/>
        <v>-55.389999999999866</v>
      </c>
      <c r="E198">
        <f t="shared" si="10"/>
        <v>-37.870814457529264</v>
      </c>
      <c r="F198">
        <f t="shared" si="11"/>
        <v>273.91671929996039</v>
      </c>
    </row>
    <row r="199" spans="2:6" x14ac:dyDescent="0.35">
      <c r="B199">
        <f t="shared" si="12"/>
        <v>68.200000000000117</v>
      </c>
      <c r="C199">
        <f t="shared" si="13"/>
        <v>-146.84000000000003</v>
      </c>
      <c r="D199">
        <f t="shared" si="14"/>
        <v>-55.679999999999865</v>
      </c>
      <c r="E199">
        <f t="shared" ref="E199:E262" si="15">(B199-C199)*COS(D199)+C199*COS((B199/C199-1)*D199)</f>
        <v>-6.5051183148292466</v>
      </c>
      <c r="F199">
        <f t="shared" ref="F199:F262" si="16">(B199-C199)*SIN(D199)+C199*SIN((B199/C199-1)*D199)</f>
        <v>184.77910932335021</v>
      </c>
    </row>
    <row r="200" spans="2:6" x14ac:dyDescent="0.35">
      <c r="B200">
        <f t="shared" ref="B200:B263" si="17">B199+$B$2</f>
        <v>68.550000000000111</v>
      </c>
      <c r="C200">
        <f t="shared" ref="C200:C263" si="18">C199+$B$3</f>
        <v>-147.61000000000004</v>
      </c>
      <c r="D200">
        <f t="shared" ref="D200:D263" si="19">D199+$B$4</f>
        <v>-55.969999999999864</v>
      </c>
      <c r="E200">
        <f t="shared" si="15"/>
        <v>39.148005851467502</v>
      </c>
      <c r="F200">
        <f t="shared" si="16"/>
        <v>77.281318436755654</v>
      </c>
    </row>
    <row r="201" spans="2:6" x14ac:dyDescent="0.35">
      <c r="B201">
        <f t="shared" si="17"/>
        <v>68.900000000000105</v>
      </c>
      <c r="C201">
        <f t="shared" si="18"/>
        <v>-148.38000000000005</v>
      </c>
      <c r="D201">
        <f t="shared" si="19"/>
        <v>-56.259999999999863</v>
      </c>
      <c r="E201">
        <f t="shared" si="15"/>
        <v>95.07312971547843</v>
      </c>
      <c r="F201">
        <f t="shared" si="16"/>
        <v>-34.055098910706327</v>
      </c>
    </row>
    <row r="202" spans="2:6" x14ac:dyDescent="0.35">
      <c r="B202">
        <f t="shared" si="17"/>
        <v>69.250000000000099</v>
      </c>
      <c r="C202">
        <f t="shared" si="18"/>
        <v>-149.15000000000006</v>
      </c>
      <c r="D202">
        <f t="shared" si="19"/>
        <v>-56.549999999999862</v>
      </c>
      <c r="E202">
        <f t="shared" si="15"/>
        <v>154.03939524202769</v>
      </c>
      <c r="F202">
        <f t="shared" si="16"/>
        <v>-134.84005897816868</v>
      </c>
    </row>
    <row r="203" spans="2:6" x14ac:dyDescent="0.35">
      <c r="B203">
        <f t="shared" si="17"/>
        <v>69.600000000000094</v>
      </c>
      <c r="C203">
        <f t="shared" si="18"/>
        <v>-149.92000000000007</v>
      </c>
      <c r="D203">
        <f t="shared" si="19"/>
        <v>-56.839999999999861</v>
      </c>
      <c r="E203">
        <f t="shared" si="15"/>
        <v>206.61642162954112</v>
      </c>
      <c r="F203">
        <f t="shared" si="16"/>
        <v>-212.92789438575451</v>
      </c>
    </row>
    <row r="204" spans="2:6" x14ac:dyDescent="0.35">
      <c r="B204">
        <f t="shared" si="17"/>
        <v>69.950000000000088</v>
      </c>
      <c r="C204">
        <f t="shared" si="18"/>
        <v>-150.69000000000008</v>
      </c>
      <c r="D204">
        <f t="shared" si="19"/>
        <v>-57.12999999999986</v>
      </c>
      <c r="E204">
        <f t="shared" si="15"/>
        <v>242.72010164838656</v>
      </c>
      <c r="F204">
        <f t="shared" si="16"/>
        <v>-260.10693561595542</v>
      </c>
    </row>
    <row r="205" spans="2:6" x14ac:dyDescent="0.35">
      <c r="B205">
        <f t="shared" si="17"/>
        <v>70.300000000000082</v>
      </c>
      <c r="C205">
        <f t="shared" si="18"/>
        <v>-151.46000000000009</v>
      </c>
      <c r="D205">
        <f t="shared" si="19"/>
        <v>-57.41999999999986</v>
      </c>
      <c r="E205">
        <f t="shared" si="15"/>
        <v>253.43027991545921</v>
      </c>
      <c r="F205">
        <f t="shared" si="16"/>
        <v>-273.10269018729059</v>
      </c>
    </row>
    <row r="206" spans="2:6" x14ac:dyDescent="0.35">
      <c r="B206">
        <f t="shared" si="17"/>
        <v>70.650000000000077</v>
      </c>
      <c r="C206">
        <f t="shared" si="18"/>
        <v>-152.2300000000001</v>
      </c>
      <c r="D206">
        <f t="shared" si="19"/>
        <v>-57.709999999999859</v>
      </c>
      <c r="E206">
        <f t="shared" si="15"/>
        <v>232.75990556193608</v>
      </c>
      <c r="F206">
        <f t="shared" si="16"/>
        <v>-253.75127757166359</v>
      </c>
    </row>
    <row r="207" spans="2:6" x14ac:dyDescent="0.35">
      <c r="B207">
        <f t="shared" si="17"/>
        <v>71.000000000000071</v>
      </c>
      <c r="C207">
        <f t="shared" si="18"/>
        <v>-153.00000000000011</v>
      </c>
      <c r="D207">
        <f t="shared" si="19"/>
        <v>-57.999999999999858</v>
      </c>
      <c r="E207">
        <f t="shared" si="15"/>
        <v>179.04887463694237</v>
      </c>
      <c r="F207">
        <f t="shared" si="16"/>
        <v>-208.34259337902654</v>
      </c>
    </row>
    <row r="208" spans="2:6" x14ac:dyDescent="0.35">
      <c r="B208">
        <f t="shared" si="17"/>
        <v>71.350000000000065</v>
      </c>
      <c r="C208">
        <f t="shared" si="18"/>
        <v>-153.77000000000012</v>
      </c>
      <c r="D208">
        <f t="shared" si="19"/>
        <v>-58.289999999999857</v>
      </c>
      <c r="E208">
        <f t="shared" si="15"/>
        <v>95.708105948655572</v>
      </c>
      <c r="F208">
        <f t="shared" si="16"/>
        <v>-146.27377115906938</v>
      </c>
    </row>
    <row r="209" spans="2:6" x14ac:dyDescent="0.35">
      <c r="B209">
        <f t="shared" si="17"/>
        <v>71.70000000000006</v>
      </c>
      <c r="C209">
        <f t="shared" si="18"/>
        <v>-154.54000000000013</v>
      </c>
      <c r="D209">
        <f t="shared" si="19"/>
        <v>-58.579999999999856</v>
      </c>
      <c r="E209">
        <f t="shared" si="15"/>
        <v>-8.8573143125759657</v>
      </c>
      <c r="F209">
        <f t="shared" si="16"/>
        <v>-78.268373377278991</v>
      </c>
    </row>
    <row r="210" spans="2:6" x14ac:dyDescent="0.35">
      <c r="B210">
        <f t="shared" si="17"/>
        <v>72.050000000000054</v>
      </c>
      <c r="C210">
        <f t="shared" si="18"/>
        <v>-155.31000000000014</v>
      </c>
      <c r="D210">
        <f t="shared" si="19"/>
        <v>-58.869999999999855</v>
      </c>
      <c r="E210">
        <f t="shared" si="15"/>
        <v>-122.17981009998289</v>
      </c>
      <c r="F210">
        <f t="shared" si="16"/>
        <v>-14.485494181696737</v>
      </c>
    </row>
    <row r="211" spans="2:6" x14ac:dyDescent="0.35">
      <c r="B211">
        <f t="shared" si="17"/>
        <v>72.400000000000048</v>
      </c>
      <c r="C211">
        <f t="shared" si="18"/>
        <v>-156.08000000000015</v>
      </c>
      <c r="D211">
        <f t="shared" si="19"/>
        <v>-59.159999999999854</v>
      </c>
      <c r="E211">
        <f t="shared" si="15"/>
        <v>-229.40182733575463</v>
      </c>
      <c r="F211">
        <f t="shared" si="16"/>
        <v>37.146149089486585</v>
      </c>
    </row>
    <row r="212" spans="2:6" x14ac:dyDescent="0.35">
      <c r="B212">
        <f t="shared" si="17"/>
        <v>72.750000000000043</v>
      </c>
      <c r="C212">
        <f t="shared" si="18"/>
        <v>-156.85000000000016</v>
      </c>
      <c r="D212">
        <f t="shared" si="19"/>
        <v>-59.449999999999854</v>
      </c>
      <c r="E212">
        <f t="shared" si="15"/>
        <v>-315.44246100136684</v>
      </c>
      <c r="F212">
        <f t="shared" si="16"/>
        <v>72.08254373655717</v>
      </c>
    </row>
    <row r="213" spans="2:6" x14ac:dyDescent="0.35">
      <c r="B213">
        <f t="shared" si="17"/>
        <v>73.100000000000037</v>
      </c>
      <c r="C213">
        <f t="shared" si="18"/>
        <v>-157.62000000000018</v>
      </c>
      <c r="D213">
        <f t="shared" si="19"/>
        <v>-59.739999999999853</v>
      </c>
      <c r="E213">
        <f t="shared" si="15"/>
        <v>-367.31752084700963</v>
      </c>
      <c r="F213">
        <f t="shared" si="16"/>
        <v>89.619412637305118</v>
      </c>
    </row>
    <row r="214" spans="2:6" x14ac:dyDescent="0.35">
      <c r="B214">
        <f t="shared" si="17"/>
        <v>73.450000000000031</v>
      </c>
      <c r="C214">
        <f t="shared" si="18"/>
        <v>-158.39000000000019</v>
      </c>
      <c r="D214">
        <f t="shared" si="19"/>
        <v>-60.029999999999852</v>
      </c>
      <c r="E214">
        <f t="shared" si="15"/>
        <v>-376.23447881653351</v>
      </c>
      <c r="F214">
        <f t="shared" si="16"/>
        <v>92.59156781890303</v>
      </c>
    </row>
    <row r="215" spans="2:6" x14ac:dyDescent="0.35">
      <c r="B215">
        <f t="shared" si="17"/>
        <v>73.800000000000026</v>
      </c>
      <c r="C215">
        <f t="shared" si="18"/>
        <v>-159.1600000000002</v>
      </c>
      <c r="D215">
        <f t="shared" si="19"/>
        <v>-60.319999999999851</v>
      </c>
      <c r="E215">
        <f t="shared" si="15"/>
        <v>-339.10977563788526</v>
      </c>
      <c r="F215">
        <f t="shared" si="16"/>
        <v>86.400291349393484</v>
      </c>
    </row>
    <row r="216" spans="2:6" x14ac:dyDescent="0.35">
      <c r="B216">
        <f t="shared" si="17"/>
        <v>74.15000000000002</v>
      </c>
      <c r="C216">
        <f t="shared" si="18"/>
        <v>-159.93000000000021</v>
      </c>
      <c r="D216">
        <f t="shared" si="19"/>
        <v>-60.60999999999985</v>
      </c>
      <c r="E216">
        <f t="shared" si="15"/>
        <v>-259.24275857593273</v>
      </c>
      <c r="F216">
        <f t="shared" si="16"/>
        <v>77.57599633893399</v>
      </c>
    </row>
    <row r="217" spans="2:6" x14ac:dyDescent="0.35">
      <c r="B217">
        <f t="shared" si="17"/>
        <v>74.500000000000014</v>
      </c>
      <c r="C217">
        <f t="shared" si="18"/>
        <v>-160.70000000000022</v>
      </c>
      <c r="D217">
        <f t="shared" si="19"/>
        <v>-60.899999999999849</v>
      </c>
      <c r="E217">
        <f t="shared" si="15"/>
        <v>-146.01431419041543</v>
      </c>
      <c r="F217">
        <f t="shared" si="16"/>
        <v>72.168076909310514</v>
      </c>
    </row>
    <row r="218" spans="2:6" x14ac:dyDescent="0.35">
      <c r="B218">
        <f t="shared" si="17"/>
        <v>74.850000000000009</v>
      </c>
      <c r="C218">
        <f t="shared" si="18"/>
        <v>-161.47000000000023</v>
      </c>
      <c r="D218">
        <f t="shared" si="19"/>
        <v>-61.189999999999849</v>
      </c>
      <c r="E218">
        <f t="shared" si="15"/>
        <v>-13.636925530348842</v>
      </c>
      <c r="F218">
        <f t="shared" si="16"/>
        <v>74.284208522163851</v>
      </c>
    </row>
    <row r="219" spans="2:6" x14ac:dyDescent="0.35">
      <c r="B219">
        <f t="shared" si="17"/>
        <v>75.2</v>
      </c>
      <c r="C219">
        <f t="shared" si="18"/>
        <v>-162.24000000000024</v>
      </c>
      <c r="D219">
        <f t="shared" si="19"/>
        <v>-61.479999999999848</v>
      </c>
      <c r="E219">
        <f t="shared" si="15"/>
        <v>120.8603218388424</v>
      </c>
      <c r="F219">
        <f t="shared" si="16"/>
        <v>85.071740671440779</v>
      </c>
    </row>
    <row r="220" spans="2:6" x14ac:dyDescent="0.35">
      <c r="B220">
        <f t="shared" si="17"/>
        <v>75.55</v>
      </c>
      <c r="C220">
        <f t="shared" si="18"/>
        <v>-163.01000000000025</v>
      </c>
      <c r="D220">
        <f t="shared" si="19"/>
        <v>-61.769999999999847</v>
      </c>
      <c r="E220">
        <f t="shared" si="15"/>
        <v>240.10010878774875</v>
      </c>
      <c r="F220">
        <f t="shared" si="16"/>
        <v>102.34938719093221</v>
      </c>
    </row>
    <row r="221" spans="2:6" x14ac:dyDescent="0.35">
      <c r="B221">
        <f t="shared" si="17"/>
        <v>75.899999999999991</v>
      </c>
      <c r="C221">
        <f t="shared" si="18"/>
        <v>-163.78000000000026</v>
      </c>
      <c r="D221">
        <f t="shared" si="19"/>
        <v>-62.059999999999846</v>
      </c>
      <c r="E221">
        <f t="shared" si="15"/>
        <v>328.88959315665363</v>
      </c>
      <c r="F221">
        <f t="shared" si="16"/>
        <v>120.97329649449253</v>
      </c>
    </row>
    <row r="222" spans="2:6" x14ac:dyDescent="0.35">
      <c r="B222">
        <f t="shared" si="17"/>
        <v>76.249999999999986</v>
      </c>
      <c r="C222">
        <f t="shared" si="18"/>
        <v>-164.55000000000027</v>
      </c>
      <c r="D222">
        <f t="shared" si="19"/>
        <v>-62.349999999999845</v>
      </c>
      <c r="E222">
        <f t="shared" si="15"/>
        <v>376.41550434874716</v>
      </c>
      <c r="F222">
        <f t="shared" si="16"/>
        <v>133.8802447000555</v>
      </c>
    </row>
    <row r="223" spans="2:6" x14ac:dyDescent="0.35">
      <c r="B223">
        <f t="shared" si="17"/>
        <v>76.59999999999998</v>
      </c>
      <c r="C223">
        <f t="shared" si="18"/>
        <v>-165.32000000000028</v>
      </c>
      <c r="D223">
        <f t="shared" si="19"/>
        <v>-62.639999999999844</v>
      </c>
      <c r="E223">
        <f t="shared" si="15"/>
        <v>377.75385409537239</v>
      </c>
      <c r="F223">
        <f t="shared" si="16"/>
        <v>133.61797125787118</v>
      </c>
    </row>
    <row r="224" spans="2:6" x14ac:dyDescent="0.35">
      <c r="B224">
        <f t="shared" si="17"/>
        <v>76.949999999999974</v>
      </c>
      <c r="C224">
        <f t="shared" si="18"/>
        <v>-166.09000000000029</v>
      </c>
      <c r="D224">
        <f t="shared" si="19"/>
        <v>-62.929999999999843</v>
      </c>
      <c r="E224">
        <f t="shared" si="15"/>
        <v>334.45896532739397</v>
      </c>
      <c r="F224">
        <f t="shared" si="16"/>
        <v>114.07314722132431</v>
      </c>
    </row>
    <row r="225" spans="2:6" x14ac:dyDescent="0.35">
      <c r="B225">
        <f t="shared" si="17"/>
        <v>77.299999999999969</v>
      </c>
      <c r="C225">
        <f t="shared" si="18"/>
        <v>-166.8600000000003</v>
      </c>
      <c r="D225">
        <f t="shared" si="19"/>
        <v>-63.219999999999843</v>
      </c>
      <c r="E225">
        <f t="shared" si="15"/>
        <v>254.14836951866837</v>
      </c>
      <c r="F225">
        <f t="shared" si="16"/>
        <v>72.060011904312901</v>
      </c>
    </row>
    <row r="226" spans="2:6" x14ac:dyDescent="0.35">
      <c r="B226">
        <f t="shared" si="17"/>
        <v>77.649999999999963</v>
      </c>
      <c r="C226">
        <f t="shared" si="18"/>
        <v>-167.63000000000031</v>
      </c>
      <c r="D226">
        <f t="shared" si="19"/>
        <v>-63.509999999999842</v>
      </c>
      <c r="E226">
        <f t="shared" si="15"/>
        <v>149.16559265501178</v>
      </c>
      <c r="F226">
        <f t="shared" si="16"/>
        <v>8.4470465193597022</v>
      </c>
    </row>
    <row r="227" spans="2:6" x14ac:dyDescent="0.35">
      <c r="B227">
        <f t="shared" si="17"/>
        <v>77.999999999999957</v>
      </c>
      <c r="C227">
        <f t="shared" si="18"/>
        <v>-168.40000000000032</v>
      </c>
      <c r="D227">
        <f t="shared" si="19"/>
        <v>-63.799999999999841</v>
      </c>
      <c r="E227">
        <f t="shared" si="15"/>
        <v>34.553757974493408</v>
      </c>
      <c r="F227">
        <f t="shared" si="16"/>
        <v>-71.426156838188888</v>
      </c>
    </row>
    <row r="228" spans="2:6" x14ac:dyDescent="0.35">
      <c r="B228">
        <f t="shared" si="17"/>
        <v>78.349999999999952</v>
      </c>
      <c r="C228">
        <f t="shared" si="18"/>
        <v>-169.17000000000033</v>
      </c>
      <c r="D228">
        <f t="shared" si="19"/>
        <v>-64.089999999999847</v>
      </c>
      <c r="E228">
        <f t="shared" si="15"/>
        <v>-74.316448844058996</v>
      </c>
      <c r="F228">
        <f t="shared" si="16"/>
        <v>-158.16672084992049</v>
      </c>
    </row>
    <row r="229" spans="2:6" x14ac:dyDescent="0.35">
      <c r="B229">
        <f t="shared" si="17"/>
        <v>78.699999999999946</v>
      </c>
      <c r="C229">
        <f t="shared" si="18"/>
        <v>-169.94000000000034</v>
      </c>
      <c r="D229">
        <f t="shared" si="19"/>
        <v>-64.379999999999853</v>
      </c>
      <c r="E229">
        <f t="shared" si="15"/>
        <v>-164.06937440743715</v>
      </c>
      <c r="F229">
        <f t="shared" si="16"/>
        <v>-239.55600155252907</v>
      </c>
    </row>
    <row r="230" spans="2:6" x14ac:dyDescent="0.35">
      <c r="B230">
        <f t="shared" si="17"/>
        <v>79.04999999999994</v>
      </c>
      <c r="C230">
        <f t="shared" si="18"/>
        <v>-170.71000000000035</v>
      </c>
      <c r="D230">
        <f t="shared" si="19"/>
        <v>-64.66999999999986</v>
      </c>
      <c r="E230">
        <f t="shared" si="15"/>
        <v>-225.21859970124774</v>
      </c>
      <c r="F230">
        <f t="shared" si="16"/>
        <v>-302.41145577489738</v>
      </c>
    </row>
    <row r="231" spans="2:6" x14ac:dyDescent="0.35">
      <c r="B231">
        <f t="shared" si="17"/>
        <v>79.399999999999935</v>
      </c>
      <c r="C231">
        <f t="shared" si="18"/>
        <v>-171.48000000000036</v>
      </c>
      <c r="D231">
        <f t="shared" si="19"/>
        <v>-64.959999999999866</v>
      </c>
      <c r="E231">
        <f t="shared" si="15"/>
        <v>-253.33441018944109</v>
      </c>
      <c r="F231">
        <f t="shared" si="16"/>
        <v>-334.78382803586277</v>
      </c>
    </row>
    <row r="232" spans="2:6" x14ac:dyDescent="0.35">
      <c r="B232">
        <f t="shared" si="17"/>
        <v>79.749999999999929</v>
      </c>
      <c r="C232">
        <f t="shared" si="18"/>
        <v>-172.25000000000037</v>
      </c>
      <c r="D232">
        <f t="shared" si="19"/>
        <v>-65.249999999999872</v>
      </c>
      <c r="E232">
        <f t="shared" si="15"/>
        <v>-249.31691939470463</v>
      </c>
      <c r="F232">
        <f t="shared" si="16"/>
        <v>-328.11649875987547</v>
      </c>
    </row>
    <row r="233" spans="2:6" x14ac:dyDescent="0.35">
      <c r="B233">
        <f t="shared" si="17"/>
        <v>80.099999999999923</v>
      </c>
      <c r="C233">
        <f t="shared" si="18"/>
        <v>-173.02000000000038</v>
      </c>
      <c r="D233">
        <f t="shared" si="19"/>
        <v>-65.539999999999878</v>
      </c>
      <c r="E233">
        <f t="shared" si="15"/>
        <v>-218.76498420808295</v>
      </c>
      <c r="F233">
        <f t="shared" si="16"/>
        <v>-278.98380665816074</v>
      </c>
    </row>
    <row r="234" spans="2:6" x14ac:dyDescent="0.35">
      <c r="B234">
        <f t="shared" si="17"/>
        <v>80.449999999999918</v>
      </c>
      <c r="C234">
        <f t="shared" si="18"/>
        <v>-173.79000000000039</v>
      </c>
      <c r="D234">
        <f t="shared" si="19"/>
        <v>-65.829999999999885</v>
      </c>
      <c r="E234">
        <f t="shared" si="15"/>
        <v>-170.5880781619143</v>
      </c>
      <c r="F234">
        <f t="shared" si="16"/>
        <v>-190.08268909103893</v>
      </c>
    </row>
    <row r="235" spans="2:6" x14ac:dyDescent="0.35">
      <c r="B235">
        <f t="shared" si="17"/>
        <v>80.799999999999912</v>
      </c>
      <c r="C235">
        <f t="shared" si="18"/>
        <v>-174.5600000000004</v>
      </c>
      <c r="D235">
        <f t="shared" si="19"/>
        <v>-66.119999999999891</v>
      </c>
      <c r="E235">
        <f t="shared" si="15"/>
        <v>-115.13704354239005</v>
      </c>
      <c r="F235">
        <f t="shared" si="16"/>
        <v>-70.268649247258409</v>
      </c>
    </row>
    <row r="236" spans="2:6" x14ac:dyDescent="0.35">
      <c r="B236">
        <f t="shared" si="17"/>
        <v>81.149999999999906</v>
      </c>
      <c r="C236">
        <f t="shared" si="18"/>
        <v>-175.33000000000041</v>
      </c>
      <c r="D236">
        <f t="shared" si="19"/>
        <v>-66.409999999999897</v>
      </c>
      <c r="E236">
        <f t="shared" si="15"/>
        <v>-62.207633604321671</v>
      </c>
      <c r="F236">
        <f t="shared" si="16"/>
        <v>66.416167327940229</v>
      </c>
    </row>
    <row r="237" spans="2:6" x14ac:dyDescent="0.35">
      <c r="B237">
        <f t="shared" si="17"/>
        <v>81.499999999999901</v>
      </c>
      <c r="C237">
        <f t="shared" si="18"/>
        <v>-176.10000000000042</v>
      </c>
      <c r="D237">
        <f t="shared" si="19"/>
        <v>-66.699999999999903</v>
      </c>
      <c r="E237">
        <f t="shared" si="15"/>
        <v>-19.284526255826449</v>
      </c>
      <c r="F237">
        <f t="shared" si="16"/>
        <v>202.60457074286651</v>
      </c>
    </row>
    <row r="238" spans="2:6" x14ac:dyDescent="0.35">
      <c r="B238">
        <f t="shared" si="17"/>
        <v>81.849999999999895</v>
      </c>
      <c r="C238">
        <f t="shared" si="18"/>
        <v>-176.87000000000043</v>
      </c>
      <c r="D238">
        <f t="shared" si="19"/>
        <v>-66.98999999999991</v>
      </c>
      <c r="E238">
        <f t="shared" si="15"/>
        <v>9.6589868278880147</v>
      </c>
      <c r="F238">
        <f t="shared" si="16"/>
        <v>320.08263315944964</v>
      </c>
    </row>
    <row r="239" spans="2:6" x14ac:dyDescent="0.35">
      <c r="B239">
        <f t="shared" si="17"/>
        <v>82.199999999999889</v>
      </c>
      <c r="C239">
        <f t="shared" si="18"/>
        <v>-177.64000000000044</v>
      </c>
      <c r="D239">
        <f t="shared" si="19"/>
        <v>-67.279999999999916</v>
      </c>
      <c r="E239">
        <f t="shared" si="15"/>
        <v>24.599376205478663</v>
      </c>
      <c r="F239">
        <f t="shared" si="16"/>
        <v>402.49980886742117</v>
      </c>
    </row>
    <row r="240" spans="2:6" x14ac:dyDescent="0.35">
      <c r="B240">
        <f t="shared" si="17"/>
        <v>82.549999999999883</v>
      </c>
      <c r="C240">
        <f t="shared" si="18"/>
        <v>-178.41000000000045</v>
      </c>
      <c r="D240">
        <f t="shared" si="19"/>
        <v>-67.569999999999922</v>
      </c>
      <c r="E240">
        <f t="shared" si="15"/>
        <v>29.078594090306979</v>
      </c>
      <c r="F240">
        <f t="shared" si="16"/>
        <v>437.87701787201081</v>
      </c>
    </row>
    <row r="241" spans="2:6" x14ac:dyDescent="0.35">
      <c r="B241">
        <f t="shared" si="17"/>
        <v>82.899999999999878</v>
      </c>
      <c r="C241">
        <f t="shared" si="18"/>
        <v>-179.18000000000046</v>
      </c>
      <c r="D241">
        <f t="shared" si="19"/>
        <v>-67.859999999999928</v>
      </c>
      <c r="E241">
        <f t="shared" si="15"/>
        <v>29.092094623588089</v>
      </c>
      <c r="F241">
        <f t="shared" si="16"/>
        <v>420.50240880263971</v>
      </c>
    </row>
    <row r="242" spans="2:6" x14ac:dyDescent="0.35">
      <c r="B242">
        <f t="shared" si="17"/>
        <v>83.249999999999872</v>
      </c>
      <c r="C242">
        <f t="shared" si="18"/>
        <v>-179.95000000000047</v>
      </c>
      <c r="D242">
        <f t="shared" si="19"/>
        <v>-68.149999999999935</v>
      </c>
      <c r="E242">
        <f t="shared" si="15"/>
        <v>31.481606475354312</v>
      </c>
      <c r="F242">
        <f t="shared" si="16"/>
        <v>351.8977442507711</v>
      </c>
    </row>
    <row r="243" spans="2:6" x14ac:dyDescent="0.35">
      <c r="B243">
        <f t="shared" si="17"/>
        <v>83.599999999999866</v>
      </c>
      <c r="C243">
        <f t="shared" si="18"/>
        <v>-180.72000000000048</v>
      </c>
      <c r="D243">
        <f t="shared" si="19"/>
        <v>-68.439999999999941</v>
      </c>
      <c r="E243">
        <f t="shared" si="15"/>
        <v>42.159280962020858</v>
      </c>
      <c r="F243">
        <f t="shared" si="16"/>
        <v>240.68631538227839</v>
      </c>
    </row>
    <row r="244" spans="2:6" x14ac:dyDescent="0.35">
      <c r="B244">
        <f t="shared" si="17"/>
        <v>83.949999999999861</v>
      </c>
      <c r="C244">
        <f t="shared" si="18"/>
        <v>-181.49000000000049</v>
      </c>
      <c r="D244">
        <f t="shared" si="19"/>
        <v>-68.729999999999947</v>
      </c>
      <c r="E244">
        <f t="shared" si="15"/>
        <v>64.523266505080727</v>
      </c>
      <c r="F244">
        <f t="shared" si="16"/>
        <v>101.37145745310133</v>
      </c>
    </row>
    <row r="245" spans="2:6" x14ac:dyDescent="0.35">
      <c r="B245">
        <f t="shared" si="17"/>
        <v>84.299999999999855</v>
      </c>
      <c r="C245">
        <f t="shared" si="18"/>
        <v>-182.2600000000005</v>
      </c>
      <c r="D245">
        <f t="shared" si="19"/>
        <v>-69.019999999999953</v>
      </c>
      <c r="E245">
        <f t="shared" si="15"/>
        <v>98.390917304869873</v>
      </c>
      <c r="F245">
        <f t="shared" si="16"/>
        <v>-47.786886037052589</v>
      </c>
    </row>
    <row r="246" spans="2:6" x14ac:dyDescent="0.35">
      <c r="B246">
        <f t="shared" si="17"/>
        <v>84.649999999999849</v>
      </c>
      <c r="C246">
        <f t="shared" si="18"/>
        <v>-183.03000000000051</v>
      </c>
      <c r="D246">
        <f t="shared" si="19"/>
        <v>-69.30999999999996</v>
      </c>
      <c r="E246">
        <f t="shared" si="15"/>
        <v>139.6803561694108</v>
      </c>
      <c r="F246">
        <f t="shared" si="16"/>
        <v>-187.46181298890775</v>
      </c>
    </row>
    <row r="247" spans="2:6" x14ac:dyDescent="0.35">
      <c r="B247">
        <f t="shared" si="17"/>
        <v>84.999999999999844</v>
      </c>
      <c r="C247">
        <f t="shared" si="18"/>
        <v>-183.80000000000052</v>
      </c>
      <c r="D247">
        <f t="shared" si="19"/>
        <v>-69.599999999999966</v>
      </c>
      <c r="E247">
        <f t="shared" si="15"/>
        <v>180.93085074266173</v>
      </c>
      <c r="F247">
        <f t="shared" si="16"/>
        <v>-300.0867454586222</v>
      </c>
    </row>
    <row r="248" spans="2:6" x14ac:dyDescent="0.35">
      <c r="B248">
        <f t="shared" si="17"/>
        <v>85.349999999999838</v>
      </c>
      <c r="C248">
        <f t="shared" si="18"/>
        <v>-184.57000000000053</v>
      </c>
      <c r="D248">
        <f t="shared" si="19"/>
        <v>-69.889999999999972</v>
      </c>
      <c r="E248">
        <f t="shared" si="15"/>
        <v>212.5926224983391</v>
      </c>
      <c r="F248">
        <f t="shared" si="16"/>
        <v>-372.3703646961502</v>
      </c>
    </row>
    <row r="249" spans="2:6" x14ac:dyDescent="0.35">
      <c r="B249">
        <f t="shared" si="17"/>
        <v>85.699999999999832</v>
      </c>
      <c r="C249">
        <f t="shared" si="18"/>
        <v>-185.34000000000054</v>
      </c>
      <c r="D249">
        <f t="shared" si="19"/>
        <v>-70.179999999999978</v>
      </c>
      <c r="E249">
        <f t="shared" si="15"/>
        <v>224.86636137898489</v>
      </c>
      <c r="F249">
        <f t="shared" si="16"/>
        <v>-397.10306433944049</v>
      </c>
    </row>
    <row r="250" spans="2:6" x14ac:dyDescent="0.35">
      <c r="B250">
        <f t="shared" si="17"/>
        <v>86.049999999999827</v>
      </c>
      <c r="C250">
        <f t="shared" si="18"/>
        <v>-186.11000000000055</v>
      </c>
      <c r="D250">
        <f t="shared" si="19"/>
        <v>-70.469999999999985</v>
      </c>
      <c r="E250">
        <f t="shared" si="15"/>
        <v>209.75963472367849</v>
      </c>
      <c r="F250">
        <f t="shared" si="16"/>
        <v>-373.97876939500441</v>
      </c>
    </row>
    <row r="251" spans="2:6" x14ac:dyDescent="0.35">
      <c r="B251">
        <f t="shared" si="17"/>
        <v>86.399999999999821</v>
      </c>
      <c r="C251">
        <f t="shared" si="18"/>
        <v>-186.88000000000056</v>
      </c>
      <c r="D251">
        <f t="shared" si="19"/>
        <v>-70.759999999999991</v>
      </c>
      <c r="E251">
        <f t="shared" si="15"/>
        <v>162.97301477095002</v>
      </c>
      <c r="F251">
        <f t="shared" si="16"/>
        <v>-309.32158070912004</v>
      </c>
    </row>
    <row r="252" spans="2:6" x14ac:dyDescent="0.35">
      <c r="B252">
        <f t="shared" si="17"/>
        <v>86.749999999999815</v>
      </c>
      <c r="C252">
        <f t="shared" si="18"/>
        <v>-187.65000000000057</v>
      </c>
      <c r="D252">
        <f t="shared" si="19"/>
        <v>-71.05</v>
      </c>
      <c r="E252">
        <f t="shared" si="15"/>
        <v>85.244311929379535</v>
      </c>
      <c r="F252">
        <f t="shared" si="16"/>
        <v>-214.7895657556943</v>
      </c>
    </row>
    <row r="253" spans="2:6" x14ac:dyDescent="0.35">
      <c r="B253">
        <f t="shared" si="17"/>
        <v>87.09999999999981</v>
      </c>
      <c r="C253">
        <f t="shared" si="18"/>
        <v>-188.42000000000058</v>
      </c>
      <c r="D253">
        <f t="shared" si="19"/>
        <v>-71.34</v>
      </c>
      <c r="E253">
        <f t="shared" si="15"/>
        <v>-17.13640973694595</v>
      </c>
      <c r="F253">
        <f t="shared" si="16"/>
        <v>-105.29677542663069</v>
      </c>
    </row>
    <row r="254" spans="2:6" x14ac:dyDescent="0.35">
      <c r="B254">
        <f t="shared" si="17"/>
        <v>87.449999999999804</v>
      </c>
      <c r="C254">
        <f t="shared" si="18"/>
        <v>-189.19000000000059</v>
      </c>
      <c r="D254">
        <f t="shared" si="19"/>
        <v>-71.63000000000001</v>
      </c>
      <c r="E254">
        <f t="shared" si="15"/>
        <v>-132.78892536281364</v>
      </c>
      <c r="F254">
        <f t="shared" si="16"/>
        <v>3.4796533137683525</v>
      </c>
    </row>
    <row r="255" spans="2:6" x14ac:dyDescent="0.35">
      <c r="B255">
        <f t="shared" si="17"/>
        <v>87.799999999999798</v>
      </c>
      <c r="C255">
        <f t="shared" si="18"/>
        <v>-189.9600000000006</v>
      </c>
      <c r="D255">
        <f t="shared" si="19"/>
        <v>-71.920000000000016</v>
      </c>
      <c r="E255">
        <f t="shared" si="15"/>
        <v>-246.65909693762492</v>
      </c>
      <c r="F255">
        <f t="shared" si="16"/>
        <v>97.579017146082919</v>
      </c>
    </row>
    <row r="256" spans="2:6" x14ac:dyDescent="0.35">
      <c r="B256">
        <f t="shared" si="17"/>
        <v>88.149999999999793</v>
      </c>
      <c r="C256">
        <f t="shared" si="18"/>
        <v>-190.73000000000062</v>
      </c>
      <c r="D256">
        <f t="shared" si="19"/>
        <v>-72.210000000000022</v>
      </c>
      <c r="E256">
        <f t="shared" si="15"/>
        <v>-342.1938832737805</v>
      </c>
      <c r="F256">
        <f t="shared" si="16"/>
        <v>166.80794142231596</v>
      </c>
    </row>
    <row r="257" spans="2:6" x14ac:dyDescent="0.35">
      <c r="B257">
        <f t="shared" si="17"/>
        <v>88.499999999999787</v>
      </c>
      <c r="C257">
        <f t="shared" si="18"/>
        <v>-191.50000000000063</v>
      </c>
      <c r="D257">
        <f t="shared" si="19"/>
        <v>-72.500000000000028</v>
      </c>
      <c r="E257">
        <f t="shared" si="15"/>
        <v>-403.93638376701847</v>
      </c>
      <c r="F257">
        <f t="shared" si="16"/>
        <v>206.03203643511387</v>
      </c>
    </row>
    <row r="258" spans="2:6" x14ac:dyDescent="0.35">
      <c r="B258">
        <f t="shared" si="17"/>
        <v>88.849999999999781</v>
      </c>
      <c r="C258">
        <f t="shared" si="18"/>
        <v>-192.27000000000064</v>
      </c>
      <c r="D258">
        <f t="shared" si="19"/>
        <v>-72.790000000000035</v>
      </c>
      <c r="E258">
        <f t="shared" si="15"/>
        <v>-420.11410369635905</v>
      </c>
      <c r="F258">
        <f t="shared" si="16"/>
        <v>215.51852145347215</v>
      </c>
    </row>
    <row r="259" spans="2:6" x14ac:dyDescent="0.35">
      <c r="B259">
        <f t="shared" si="17"/>
        <v>89.199999999999775</v>
      </c>
      <c r="C259">
        <f t="shared" si="18"/>
        <v>-193.04000000000065</v>
      </c>
      <c r="D259">
        <f t="shared" si="19"/>
        <v>-73.080000000000041</v>
      </c>
      <c r="E259">
        <f t="shared" si="15"/>
        <v>-384.77769838450524</v>
      </c>
      <c r="F259">
        <f t="shared" si="16"/>
        <v>200.31182307409699</v>
      </c>
    </row>
    <row r="260" spans="2:6" x14ac:dyDescent="0.35">
      <c r="B260">
        <f t="shared" si="17"/>
        <v>89.54999999999977</v>
      </c>
      <c r="C260">
        <f t="shared" si="18"/>
        <v>-193.81000000000066</v>
      </c>
      <c r="D260">
        <f t="shared" si="19"/>
        <v>-73.370000000000047</v>
      </c>
      <c r="E260">
        <f t="shared" si="15"/>
        <v>-299.10819817441853</v>
      </c>
      <c r="F260">
        <f t="shared" si="16"/>
        <v>168.7963567942964</v>
      </c>
    </row>
    <row r="261" spans="2:6" x14ac:dyDescent="0.35">
      <c r="B261">
        <f t="shared" si="17"/>
        <v>89.899999999999764</v>
      </c>
      <c r="C261">
        <f t="shared" si="18"/>
        <v>-194.58000000000067</v>
      </c>
      <c r="D261">
        <f t="shared" si="19"/>
        <v>-73.660000000000053</v>
      </c>
      <c r="E261">
        <f t="shared" si="15"/>
        <v>-171.63928776284041</v>
      </c>
      <c r="F261">
        <f t="shared" si="16"/>
        <v>130.74275618772856</v>
      </c>
    </row>
    <row r="262" spans="2:6" x14ac:dyDescent="0.35">
      <c r="B262">
        <f t="shared" si="17"/>
        <v>90.249999999999758</v>
      </c>
      <c r="C262">
        <f t="shared" si="18"/>
        <v>-195.35000000000068</v>
      </c>
      <c r="D262">
        <f t="shared" si="19"/>
        <v>-73.95000000000006</v>
      </c>
      <c r="E262">
        <f t="shared" si="15"/>
        <v>-17.316743278508689</v>
      </c>
      <c r="F262">
        <f t="shared" si="16"/>
        <v>95.220607927504119</v>
      </c>
    </row>
    <row r="263" spans="2:6" x14ac:dyDescent="0.35">
      <c r="B263">
        <f t="shared" si="17"/>
        <v>90.599999999999753</v>
      </c>
      <c r="C263">
        <f t="shared" si="18"/>
        <v>-196.12000000000069</v>
      </c>
      <c r="D263">
        <f t="shared" si="19"/>
        <v>-74.240000000000066</v>
      </c>
      <c r="E263">
        <f t="shared" ref="E263:E326" si="20">(B263-C263)*COS(D263)+C263*COS((B263/C263-1)*D263)</f>
        <v>144.4897921102208</v>
      </c>
      <c r="F263">
        <f t="shared" ref="F263:F326" si="21">(B263-C263)*SIN(D263)+C263*SIN((B263/C263-1)*D263)</f>
        <v>68.777063755535607</v>
      </c>
    </row>
    <row r="264" spans="2:6" x14ac:dyDescent="0.35">
      <c r="B264">
        <f t="shared" ref="B264:B327" si="22">B263+$B$2</f>
        <v>90.949999999999747</v>
      </c>
      <c r="C264">
        <f t="shared" ref="C264:C327" si="23">C263+$B$3</f>
        <v>-196.8900000000007</v>
      </c>
      <c r="D264">
        <f t="shared" ref="D264:D327" si="24">D263+$B$4</f>
        <v>-74.530000000000072</v>
      </c>
      <c r="E264">
        <f t="shared" si="20"/>
        <v>292.72982103399926</v>
      </c>
      <c r="F264">
        <f t="shared" si="21"/>
        <v>54.223929697739038</v>
      </c>
    </row>
    <row r="265" spans="2:6" x14ac:dyDescent="0.35">
      <c r="B265">
        <f t="shared" si="22"/>
        <v>91.299999999999741</v>
      </c>
      <c r="C265">
        <f t="shared" si="23"/>
        <v>-197.66000000000071</v>
      </c>
      <c r="D265">
        <f t="shared" si="24"/>
        <v>-74.820000000000078</v>
      </c>
      <c r="E265">
        <f t="shared" si="20"/>
        <v>407.74537123303497</v>
      </c>
      <c r="F265">
        <f t="shared" si="21"/>
        <v>50.256483853835007</v>
      </c>
    </row>
    <row r="266" spans="2:6" x14ac:dyDescent="0.35">
      <c r="B266">
        <f t="shared" si="22"/>
        <v>91.649999999999736</v>
      </c>
      <c r="C266">
        <f t="shared" si="23"/>
        <v>-198.43000000000072</v>
      </c>
      <c r="D266">
        <f t="shared" si="24"/>
        <v>-75.110000000000085</v>
      </c>
      <c r="E266">
        <f t="shared" si="20"/>
        <v>474.18811652416616</v>
      </c>
      <c r="F266">
        <f t="shared" si="21"/>
        <v>51.967123068875459</v>
      </c>
    </row>
    <row r="267" spans="2:6" x14ac:dyDescent="0.35">
      <c r="B267">
        <f t="shared" si="22"/>
        <v>91.99999999999973</v>
      </c>
      <c r="C267">
        <f t="shared" si="23"/>
        <v>-199.20000000000073</v>
      </c>
      <c r="D267">
        <f t="shared" si="24"/>
        <v>-75.400000000000091</v>
      </c>
      <c r="E267">
        <f t="shared" si="20"/>
        <v>483.31228679355013</v>
      </c>
      <c r="F267">
        <f t="shared" si="21"/>
        <v>52.145179192693547</v>
      </c>
    </row>
    <row r="268" spans="2:6" x14ac:dyDescent="0.35">
      <c r="B268">
        <f t="shared" si="22"/>
        <v>92.349999999999724</v>
      </c>
      <c r="C268">
        <f t="shared" si="23"/>
        <v>-199.97000000000074</v>
      </c>
      <c r="D268">
        <f t="shared" si="24"/>
        <v>-75.690000000000097</v>
      </c>
      <c r="E268">
        <f t="shared" si="20"/>
        <v>434.27269356749969</v>
      </c>
      <c r="F268">
        <f t="shared" si="21"/>
        <v>43.102291498690221</v>
      </c>
    </row>
    <row r="269" spans="2:6" x14ac:dyDescent="0.35">
      <c r="B269">
        <f t="shared" si="22"/>
        <v>92.699999999999719</v>
      </c>
      <c r="C269">
        <f t="shared" si="23"/>
        <v>-200.74000000000075</v>
      </c>
      <c r="D269">
        <f t="shared" si="24"/>
        <v>-75.980000000000103</v>
      </c>
      <c r="E269">
        <f t="shared" si="20"/>
        <v>334.21728112524306</v>
      </c>
      <c r="F269">
        <f t="shared" si="21"/>
        <v>18.658582593987887</v>
      </c>
    </row>
    <row r="270" spans="2:6" x14ac:dyDescent="0.35">
      <c r="B270">
        <f t="shared" si="22"/>
        <v>93.049999999999713</v>
      </c>
      <c r="C270">
        <f t="shared" si="23"/>
        <v>-201.51000000000076</v>
      </c>
      <c r="D270">
        <f t="shared" si="24"/>
        <v>-76.27000000000011</v>
      </c>
      <c r="E270">
        <f t="shared" si="20"/>
        <v>197.15978527616721</v>
      </c>
      <c r="F270">
        <f t="shared" si="21"/>
        <v>-24.111890475354301</v>
      </c>
    </row>
    <row r="271" spans="2:6" x14ac:dyDescent="0.35">
      <c r="B271">
        <f t="shared" si="22"/>
        <v>93.399999999999707</v>
      </c>
      <c r="C271">
        <f t="shared" si="23"/>
        <v>-202.28000000000077</v>
      </c>
      <c r="D271">
        <f t="shared" si="24"/>
        <v>-76.560000000000116</v>
      </c>
      <c r="E271">
        <f t="shared" si="20"/>
        <v>41.817257126753248</v>
      </c>
      <c r="F271">
        <f t="shared" si="21"/>
        <v>-83.739845356853181</v>
      </c>
    </row>
    <row r="272" spans="2:6" x14ac:dyDescent="0.35">
      <c r="B272">
        <f t="shared" si="22"/>
        <v>93.749999999999702</v>
      </c>
      <c r="C272">
        <f t="shared" si="23"/>
        <v>-203.05000000000078</v>
      </c>
      <c r="D272">
        <f t="shared" si="24"/>
        <v>-76.850000000000122</v>
      </c>
      <c r="E272">
        <f t="shared" si="20"/>
        <v>-111.23438503813637</v>
      </c>
      <c r="F272">
        <f t="shared" si="21"/>
        <v>-154.08011753541444</v>
      </c>
    </row>
    <row r="273" spans="2:6" x14ac:dyDescent="0.35">
      <c r="B273">
        <f t="shared" si="22"/>
        <v>94.099999999999696</v>
      </c>
      <c r="C273">
        <f t="shared" si="23"/>
        <v>-203.82000000000079</v>
      </c>
      <c r="D273">
        <f t="shared" si="24"/>
        <v>-77.140000000000128</v>
      </c>
      <c r="E273">
        <f t="shared" si="20"/>
        <v>-242.62459613300743</v>
      </c>
      <c r="F273">
        <f t="shared" si="21"/>
        <v>-224.99084555202518</v>
      </c>
    </row>
    <row r="274" spans="2:6" x14ac:dyDescent="0.35">
      <c r="B274">
        <f t="shared" si="22"/>
        <v>94.44999999999969</v>
      </c>
      <c r="C274">
        <f t="shared" si="23"/>
        <v>-204.5900000000008</v>
      </c>
      <c r="D274">
        <f t="shared" si="24"/>
        <v>-77.430000000000135</v>
      </c>
      <c r="E274">
        <f t="shared" si="20"/>
        <v>-336.97892170306227</v>
      </c>
      <c r="F274">
        <f t="shared" si="21"/>
        <v>-283.89207243825945</v>
      </c>
    </row>
    <row r="275" spans="2:6" x14ac:dyDescent="0.35">
      <c r="B275">
        <f t="shared" si="22"/>
        <v>94.799999999999685</v>
      </c>
      <c r="C275">
        <f t="shared" si="23"/>
        <v>-205.36000000000081</v>
      </c>
      <c r="D275">
        <f t="shared" si="24"/>
        <v>-77.720000000000141</v>
      </c>
      <c r="E275">
        <f t="shared" si="20"/>
        <v>-384.99474858480812</v>
      </c>
      <c r="F275">
        <f t="shared" si="21"/>
        <v>-317.95374114541937</v>
      </c>
    </row>
    <row r="276" spans="2:6" x14ac:dyDescent="0.35">
      <c r="B276">
        <f t="shared" si="22"/>
        <v>95.149999999999679</v>
      </c>
      <c r="C276">
        <f t="shared" si="23"/>
        <v>-206.13000000000082</v>
      </c>
      <c r="D276">
        <f t="shared" si="24"/>
        <v>-78.010000000000147</v>
      </c>
      <c r="E276">
        <f t="shared" si="20"/>
        <v>-384.48636044425791</v>
      </c>
      <c r="F276">
        <f t="shared" si="21"/>
        <v>-316.53462534810694</v>
      </c>
    </row>
    <row r="277" spans="2:6" x14ac:dyDescent="0.35">
      <c r="B277">
        <f t="shared" si="22"/>
        <v>95.499999999999673</v>
      </c>
      <c r="C277">
        <f t="shared" si="23"/>
        <v>-206.90000000000083</v>
      </c>
      <c r="D277">
        <f t="shared" si="24"/>
        <v>-78.300000000000153</v>
      </c>
      <c r="E277">
        <f t="shared" si="20"/>
        <v>-340.26124163241502</v>
      </c>
      <c r="F277">
        <f t="shared" si="21"/>
        <v>-273.43070823961108</v>
      </c>
    </row>
    <row r="278" spans="2:6" x14ac:dyDescent="0.35">
      <c r="B278">
        <f t="shared" si="22"/>
        <v>95.849999999999667</v>
      </c>
      <c r="C278">
        <f t="shared" si="23"/>
        <v>-207.67000000000084</v>
      </c>
      <c r="D278">
        <f t="shared" si="24"/>
        <v>-78.59000000000016</v>
      </c>
      <c r="E278">
        <f t="shared" si="20"/>
        <v>-262.88837758495561</v>
      </c>
      <c r="F278">
        <f t="shared" si="21"/>
        <v>-188.50683932994934</v>
      </c>
    </row>
    <row r="279" spans="2:6" x14ac:dyDescent="0.35">
      <c r="B279">
        <f t="shared" si="22"/>
        <v>96.199999999999662</v>
      </c>
      <c r="C279">
        <f t="shared" si="23"/>
        <v>-208.44000000000085</v>
      </c>
      <c r="D279">
        <f t="shared" si="24"/>
        <v>-78.880000000000166</v>
      </c>
      <c r="E279">
        <f t="shared" si="20"/>
        <v>-166.60483970487854</v>
      </c>
      <c r="F279">
        <f t="shared" si="21"/>
        <v>-68.378314271717599</v>
      </c>
    </row>
    <row r="280" spans="2:6" x14ac:dyDescent="0.35">
      <c r="B280">
        <f t="shared" si="22"/>
        <v>96.549999999999656</v>
      </c>
      <c r="C280">
        <f t="shared" si="23"/>
        <v>-209.21000000000086</v>
      </c>
      <c r="D280">
        <f t="shared" si="24"/>
        <v>-79.170000000000172</v>
      </c>
      <c r="E280">
        <f t="shared" si="20"/>
        <v>-66.747243534980498</v>
      </c>
      <c r="F280">
        <f t="shared" si="21"/>
        <v>74.035360632488207</v>
      </c>
    </row>
    <row r="281" spans="2:6" x14ac:dyDescent="0.35">
      <c r="B281">
        <f t="shared" si="22"/>
        <v>96.89999999999965</v>
      </c>
      <c r="C281">
        <f t="shared" si="23"/>
        <v>-209.98000000000087</v>
      </c>
      <c r="D281">
        <f t="shared" si="24"/>
        <v>-79.460000000000178</v>
      </c>
      <c r="E281">
        <f t="shared" si="20"/>
        <v>22.834231136880277</v>
      </c>
      <c r="F281">
        <f t="shared" si="21"/>
        <v>221.06998802681306</v>
      </c>
    </row>
    <row r="282" spans="2:6" x14ac:dyDescent="0.35">
      <c r="B282">
        <f t="shared" si="22"/>
        <v>97.249999999999645</v>
      </c>
      <c r="C282">
        <f t="shared" si="23"/>
        <v>-210.75000000000088</v>
      </c>
      <c r="D282">
        <f t="shared" si="24"/>
        <v>-79.750000000000185</v>
      </c>
      <c r="E282">
        <f t="shared" si="20"/>
        <v>91.931428632452494</v>
      </c>
      <c r="F282">
        <f t="shared" si="21"/>
        <v>352.77917693797519</v>
      </c>
    </row>
    <row r="283" spans="2:6" x14ac:dyDescent="0.35">
      <c r="B283">
        <f t="shared" si="22"/>
        <v>97.599999999999639</v>
      </c>
      <c r="C283">
        <f t="shared" si="23"/>
        <v>-211.52000000000089</v>
      </c>
      <c r="D283">
        <f t="shared" si="24"/>
        <v>-80.040000000000191</v>
      </c>
      <c r="E283">
        <f t="shared" si="20"/>
        <v>135.34389983935</v>
      </c>
      <c r="F283">
        <f t="shared" si="21"/>
        <v>449.92462832257519</v>
      </c>
    </row>
    <row r="284" spans="2:6" x14ac:dyDescent="0.35">
      <c r="B284">
        <f t="shared" si="22"/>
        <v>97.949999999999633</v>
      </c>
      <c r="C284">
        <f t="shared" si="23"/>
        <v>-212.2900000000009</v>
      </c>
      <c r="D284">
        <f t="shared" si="24"/>
        <v>-80.330000000000197</v>
      </c>
      <c r="E284">
        <f t="shared" si="20"/>
        <v>153.24562259814212</v>
      </c>
      <c r="F284">
        <f t="shared" si="21"/>
        <v>497.01462980101701</v>
      </c>
    </row>
    <row r="285" spans="2:6" x14ac:dyDescent="0.35">
      <c r="B285">
        <f t="shared" si="22"/>
        <v>98.299999999999628</v>
      </c>
      <c r="C285">
        <f t="shared" si="23"/>
        <v>-213.06000000000091</v>
      </c>
      <c r="D285">
        <f t="shared" si="24"/>
        <v>-80.620000000000203</v>
      </c>
      <c r="E285">
        <f t="shared" si="20"/>
        <v>150.52906660492795</v>
      </c>
      <c r="F285">
        <f t="shared" si="21"/>
        <v>484.88681737252261</v>
      </c>
    </row>
    <row r="286" spans="2:6" x14ac:dyDescent="0.35">
      <c r="B286">
        <f t="shared" si="22"/>
        <v>98.649999999999622</v>
      </c>
      <c r="C286">
        <f t="shared" si="23"/>
        <v>-213.83000000000092</v>
      </c>
      <c r="D286">
        <f t="shared" si="24"/>
        <v>-80.91000000000021</v>
      </c>
      <c r="E286">
        <f t="shared" si="20"/>
        <v>135.28983417169249</v>
      </c>
      <c r="F286">
        <f t="shared" si="21"/>
        <v>412.39281355093306</v>
      </c>
    </row>
    <row r="287" spans="2:6" x14ac:dyDescent="0.35">
      <c r="B287">
        <f t="shared" si="22"/>
        <v>98.999999999999616</v>
      </c>
      <c r="C287">
        <f t="shared" si="23"/>
        <v>-214.60000000000093</v>
      </c>
      <c r="D287">
        <f t="shared" si="24"/>
        <v>-81.200000000000216</v>
      </c>
      <c r="E287">
        <f t="shared" si="20"/>
        <v>116.77006025486517</v>
      </c>
      <c r="F287">
        <f t="shared" si="21"/>
        <v>286.88084420808354</v>
      </c>
    </row>
    <row r="288" spans="2:6" x14ac:dyDescent="0.35">
      <c r="B288">
        <f t="shared" si="22"/>
        <v>99.349999999999611</v>
      </c>
      <c r="C288">
        <f t="shared" si="23"/>
        <v>-215.37000000000094</v>
      </c>
      <c r="D288">
        <f t="shared" si="24"/>
        <v>-81.490000000000222</v>
      </c>
      <c r="E288">
        <f t="shared" si="20"/>
        <v>103.1739698243625</v>
      </c>
      <c r="F288">
        <f t="shared" si="21"/>
        <v>123.36540437561328</v>
      </c>
    </row>
    <row r="289" spans="2:6" x14ac:dyDescent="0.35">
      <c r="B289">
        <f t="shared" si="22"/>
        <v>99.699999999999605</v>
      </c>
      <c r="C289">
        <f t="shared" si="23"/>
        <v>-216.14000000000095</v>
      </c>
      <c r="D289">
        <f t="shared" si="24"/>
        <v>-81.780000000000229</v>
      </c>
      <c r="E289">
        <f t="shared" si="20"/>
        <v>99.787430012576806</v>
      </c>
      <c r="F289">
        <f t="shared" si="21"/>
        <v>-57.511725526965989</v>
      </c>
    </row>
    <row r="290" spans="2:6" x14ac:dyDescent="0.35">
      <c r="B290">
        <f t="shared" si="22"/>
        <v>100.0499999999996</v>
      </c>
      <c r="C290">
        <f t="shared" si="23"/>
        <v>-216.91000000000096</v>
      </c>
      <c r="D290">
        <f t="shared" si="24"/>
        <v>-82.070000000000235</v>
      </c>
      <c r="E290">
        <f t="shared" si="20"/>
        <v>107.77175601086836</v>
      </c>
      <c r="F290">
        <f t="shared" si="21"/>
        <v>-232.42378561027743</v>
      </c>
    </row>
    <row r="291" spans="2:6" x14ac:dyDescent="0.35">
      <c r="B291">
        <f t="shared" si="22"/>
        <v>100.39999999999959</v>
      </c>
      <c r="C291">
        <f t="shared" si="23"/>
        <v>-217.68000000000097</v>
      </c>
      <c r="D291">
        <f t="shared" si="24"/>
        <v>-82.360000000000241</v>
      </c>
      <c r="E291">
        <f t="shared" si="20"/>
        <v>123.8716126109759</v>
      </c>
      <c r="F291">
        <f t="shared" si="21"/>
        <v>-378.7469550812782</v>
      </c>
    </row>
    <row r="292" spans="2:6" x14ac:dyDescent="0.35">
      <c r="B292">
        <f t="shared" si="22"/>
        <v>100.74999999999959</v>
      </c>
      <c r="C292">
        <f t="shared" si="23"/>
        <v>-218.45000000000098</v>
      </c>
      <c r="D292">
        <f t="shared" si="24"/>
        <v>-82.650000000000247</v>
      </c>
      <c r="E292">
        <f t="shared" si="20"/>
        <v>141.10125855122544</v>
      </c>
      <c r="F292">
        <f t="shared" si="21"/>
        <v>-477.85885370869994</v>
      </c>
    </row>
    <row r="293" spans="2:6" x14ac:dyDescent="0.35">
      <c r="B293">
        <f t="shared" si="22"/>
        <v>101.09999999999958</v>
      </c>
      <c r="C293">
        <f t="shared" si="23"/>
        <v>-219.22000000000099</v>
      </c>
      <c r="D293">
        <f t="shared" si="24"/>
        <v>-82.940000000000254</v>
      </c>
      <c r="E293">
        <f t="shared" si="20"/>
        <v>150.28457399107506</v>
      </c>
      <c r="F293">
        <f t="shared" si="21"/>
        <v>-517.8240902322342</v>
      </c>
    </row>
    <row r="294" spans="2:6" x14ac:dyDescent="0.35">
      <c r="B294">
        <f t="shared" si="22"/>
        <v>101.44999999999958</v>
      </c>
      <c r="C294">
        <f t="shared" si="23"/>
        <v>-219.990000000001</v>
      </c>
      <c r="D294">
        <f t="shared" si="24"/>
        <v>-83.23000000000026</v>
      </c>
      <c r="E294">
        <f t="shared" si="20"/>
        <v>142.15687693558903</v>
      </c>
      <c r="F294">
        <f t="shared" si="21"/>
        <v>-495.04223937798798</v>
      </c>
    </row>
    <row r="295" spans="2:6" x14ac:dyDescent="0.35">
      <c r="B295">
        <f t="shared" si="22"/>
        <v>101.79999999999957</v>
      </c>
      <c r="C295">
        <f t="shared" si="23"/>
        <v>-220.76000000000101</v>
      </c>
      <c r="D295">
        <f t="shared" si="24"/>
        <v>-83.520000000000266</v>
      </c>
      <c r="E295">
        <f t="shared" si="20"/>
        <v>109.62148178776688</v>
      </c>
      <c r="F295">
        <f t="shared" si="21"/>
        <v>-414.60357803438023</v>
      </c>
    </row>
    <row r="296" spans="2:6" x14ac:dyDescent="0.35">
      <c r="B296">
        <f t="shared" si="22"/>
        <v>102.14999999999957</v>
      </c>
      <c r="C296">
        <f t="shared" si="23"/>
        <v>-221.53000000000102</v>
      </c>
      <c r="D296">
        <f t="shared" si="24"/>
        <v>-83.810000000000272</v>
      </c>
      <c r="E296">
        <f t="shared" si="20"/>
        <v>49.713113170299721</v>
      </c>
      <c r="F296">
        <f t="shared" si="21"/>
        <v>-289.31024677131597</v>
      </c>
    </row>
    <row r="297" spans="2:6" x14ac:dyDescent="0.35">
      <c r="B297">
        <f t="shared" si="22"/>
        <v>102.49999999999956</v>
      </c>
      <c r="C297">
        <f t="shared" si="23"/>
        <v>-222.30000000000103</v>
      </c>
      <c r="D297">
        <f t="shared" si="24"/>
        <v>-84.100000000000279</v>
      </c>
      <c r="E297">
        <f t="shared" si="20"/>
        <v>-35.137699813761543</v>
      </c>
      <c r="F297">
        <f t="shared" si="21"/>
        <v>-137.53922543759603</v>
      </c>
    </row>
    <row r="298" spans="2:6" x14ac:dyDescent="0.35">
      <c r="B298">
        <f t="shared" si="22"/>
        <v>102.84999999999955</v>
      </c>
      <c r="C298">
        <f t="shared" si="23"/>
        <v>-223.07000000000104</v>
      </c>
      <c r="D298">
        <f t="shared" si="24"/>
        <v>-84.390000000000285</v>
      </c>
      <c r="E298">
        <f t="shared" si="20"/>
        <v>-136.82650569513024</v>
      </c>
      <c r="F298">
        <f t="shared" si="21"/>
        <v>19.688533688116763</v>
      </c>
    </row>
    <row r="299" spans="2:6" x14ac:dyDescent="0.35">
      <c r="B299">
        <f t="shared" si="22"/>
        <v>103.19999999999955</v>
      </c>
      <c r="C299">
        <f t="shared" si="23"/>
        <v>-223.84000000000106</v>
      </c>
      <c r="D299">
        <f t="shared" si="24"/>
        <v>-84.680000000000291</v>
      </c>
      <c r="E299">
        <f t="shared" si="20"/>
        <v>-242.39530786961214</v>
      </c>
      <c r="F299">
        <f t="shared" si="21"/>
        <v>161.94316654147048</v>
      </c>
    </row>
    <row r="300" spans="2:6" x14ac:dyDescent="0.35">
      <c r="B300">
        <f t="shared" si="22"/>
        <v>103.54999999999954</v>
      </c>
      <c r="C300">
        <f t="shared" si="23"/>
        <v>-224.61000000000107</v>
      </c>
      <c r="D300">
        <f t="shared" si="24"/>
        <v>-84.970000000000297</v>
      </c>
      <c r="E300">
        <f t="shared" si="20"/>
        <v>-335.86288154263377</v>
      </c>
      <c r="F300">
        <f t="shared" si="21"/>
        <v>272.39392279539481</v>
      </c>
    </row>
    <row r="301" spans="2:6" x14ac:dyDescent="0.35">
      <c r="B301">
        <f t="shared" si="22"/>
        <v>103.89999999999954</v>
      </c>
      <c r="C301">
        <f t="shared" si="23"/>
        <v>-225.38000000000108</v>
      </c>
      <c r="D301">
        <f t="shared" si="24"/>
        <v>-85.260000000000304</v>
      </c>
      <c r="E301">
        <f t="shared" si="20"/>
        <v>-400.78579628944613</v>
      </c>
      <c r="F301">
        <f t="shared" si="21"/>
        <v>340.1076732597457</v>
      </c>
    </row>
    <row r="302" spans="2:6" x14ac:dyDescent="0.35">
      <c r="B302">
        <f t="shared" si="22"/>
        <v>104.24999999999953</v>
      </c>
      <c r="C302">
        <f t="shared" si="23"/>
        <v>-226.15000000000109</v>
      </c>
      <c r="D302">
        <f t="shared" si="24"/>
        <v>-85.55000000000031</v>
      </c>
      <c r="E302">
        <f t="shared" si="20"/>
        <v>-423.12497764160787</v>
      </c>
      <c r="F302">
        <f t="shared" si="21"/>
        <v>361.28546262622211</v>
      </c>
    </row>
    <row r="303" spans="2:6" x14ac:dyDescent="0.35">
      <c r="B303">
        <f t="shared" si="22"/>
        <v>104.59999999999953</v>
      </c>
      <c r="C303">
        <f t="shared" si="23"/>
        <v>-226.9200000000011</v>
      </c>
      <c r="D303">
        <f t="shared" si="24"/>
        <v>-85.840000000000316</v>
      </c>
      <c r="E303">
        <f t="shared" si="20"/>
        <v>-393.91873107497815</v>
      </c>
      <c r="F303">
        <f t="shared" si="21"/>
        <v>339.27293874226336</v>
      </c>
    </row>
    <row r="304" spans="2:6" x14ac:dyDescent="0.35">
      <c r="B304">
        <f t="shared" si="22"/>
        <v>104.94999999999952</v>
      </c>
      <c r="C304">
        <f t="shared" si="23"/>
        <v>-227.69000000000111</v>
      </c>
      <c r="D304">
        <f t="shared" si="24"/>
        <v>-86.130000000000322</v>
      </c>
      <c r="E304">
        <f t="shared" si="20"/>
        <v>-311.27620577409789</v>
      </c>
      <c r="F304">
        <f t="shared" si="21"/>
        <v>283.39387855572863</v>
      </c>
    </row>
    <row r="305" spans="2:6" x14ac:dyDescent="0.35">
      <c r="B305">
        <f t="shared" si="22"/>
        <v>105.29999999999951</v>
      </c>
      <c r="C305">
        <f t="shared" si="23"/>
        <v>-228.46000000000112</v>
      </c>
      <c r="D305">
        <f t="shared" si="24"/>
        <v>-86.420000000000329</v>
      </c>
      <c r="E305">
        <f t="shared" si="20"/>
        <v>-181.30506489614939</v>
      </c>
      <c r="F305">
        <f t="shared" si="21"/>
        <v>206.85721387122399</v>
      </c>
    </row>
    <row r="306" spans="2:6" x14ac:dyDescent="0.35">
      <c r="B306">
        <f t="shared" si="22"/>
        <v>105.64999999999951</v>
      </c>
      <c r="C306">
        <f t="shared" si="23"/>
        <v>-229.23000000000113</v>
      </c>
      <c r="D306">
        <f t="shared" si="24"/>
        <v>-86.710000000000335</v>
      </c>
      <c r="E306">
        <f t="shared" si="20"/>
        <v>-17.758067853429779</v>
      </c>
      <c r="F306">
        <f t="shared" si="21"/>
        <v>124.14192507070899</v>
      </c>
    </row>
    <row r="307" spans="2:6" x14ac:dyDescent="0.35">
      <c r="B307">
        <f t="shared" si="22"/>
        <v>105.9999999999995</v>
      </c>
      <c r="C307">
        <f t="shared" si="23"/>
        <v>-230.00000000000114</v>
      </c>
      <c r="D307">
        <f t="shared" si="24"/>
        <v>-87.000000000000341</v>
      </c>
      <c r="E307">
        <f t="shared" si="20"/>
        <v>159.60306170845914</v>
      </c>
      <c r="F307">
        <f t="shared" si="21"/>
        <v>48.344364870399716</v>
      </c>
    </row>
    <row r="308" spans="2:6" x14ac:dyDescent="0.35">
      <c r="B308">
        <f t="shared" si="22"/>
        <v>106.3499999999995</v>
      </c>
      <c r="C308">
        <f t="shared" si="23"/>
        <v>-230.77000000000115</v>
      </c>
      <c r="D308">
        <f t="shared" si="24"/>
        <v>-87.290000000000347</v>
      </c>
      <c r="E308">
        <f t="shared" si="20"/>
        <v>327.70814847572217</v>
      </c>
      <c r="F308">
        <f t="shared" si="21"/>
        <v>-11.034434132581623</v>
      </c>
    </row>
    <row r="309" spans="2:6" x14ac:dyDescent="0.35">
      <c r="B309">
        <f t="shared" si="22"/>
        <v>106.69999999999949</v>
      </c>
      <c r="C309">
        <f t="shared" si="23"/>
        <v>-231.54000000000116</v>
      </c>
      <c r="D309">
        <f t="shared" si="24"/>
        <v>-87.580000000000354</v>
      </c>
      <c r="E309">
        <f t="shared" si="20"/>
        <v>463.5370413948973</v>
      </c>
      <c r="F309">
        <f t="shared" si="21"/>
        <v>-49.476077565404964</v>
      </c>
    </row>
    <row r="310" spans="2:6" x14ac:dyDescent="0.35">
      <c r="B310">
        <f t="shared" si="22"/>
        <v>107.04999999999949</v>
      </c>
      <c r="C310">
        <f t="shared" si="23"/>
        <v>-232.31000000000117</v>
      </c>
      <c r="D310">
        <f t="shared" si="24"/>
        <v>-87.87000000000036</v>
      </c>
      <c r="E310">
        <f t="shared" si="20"/>
        <v>547.60666409693761</v>
      </c>
      <c r="F310">
        <f t="shared" si="21"/>
        <v>-67.78152729579628</v>
      </c>
    </row>
    <row r="311" spans="2:6" x14ac:dyDescent="0.35">
      <c r="B311">
        <f t="shared" si="22"/>
        <v>107.39999999999948</v>
      </c>
      <c r="C311">
        <f t="shared" si="23"/>
        <v>-233.08000000000118</v>
      </c>
      <c r="D311">
        <f t="shared" si="24"/>
        <v>-88.160000000000366</v>
      </c>
      <c r="E311">
        <f t="shared" si="20"/>
        <v>567.02181686883932</v>
      </c>
      <c r="F311">
        <f t="shared" si="21"/>
        <v>-71.330945747780547</v>
      </c>
    </row>
    <row r="312" spans="2:6" x14ac:dyDescent="0.35">
      <c r="B312">
        <f t="shared" si="22"/>
        <v>107.74999999999947</v>
      </c>
      <c r="C312">
        <f t="shared" si="23"/>
        <v>-233.85000000000119</v>
      </c>
      <c r="D312">
        <f t="shared" si="24"/>
        <v>-88.450000000000372</v>
      </c>
      <c r="E312">
        <f t="shared" si="20"/>
        <v>517.58458001067845</v>
      </c>
      <c r="F312">
        <f t="shared" si="21"/>
        <v>-68.442045068126632</v>
      </c>
    </row>
    <row r="313" spans="2:6" x14ac:dyDescent="0.35">
      <c r="B313">
        <f t="shared" si="22"/>
        <v>108.09999999999947</v>
      </c>
      <c r="C313">
        <f t="shared" si="23"/>
        <v>-234.6200000000012</v>
      </c>
      <c r="D313">
        <f t="shared" si="24"/>
        <v>-88.740000000000379</v>
      </c>
      <c r="E313">
        <f t="shared" si="20"/>
        <v>404.60316862668788</v>
      </c>
      <c r="F313">
        <f t="shared" si="21"/>
        <v>-68.170132967025467</v>
      </c>
    </row>
    <row r="314" spans="2:6" x14ac:dyDescent="0.35">
      <c r="B314">
        <f t="shared" si="22"/>
        <v>108.44999999999946</v>
      </c>
      <c r="C314">
        <f t="shared" si="23"/>
        <v>-235.39000000000121</v>
      </c>
      <c r="D314">
        <f t="shared" si="24"/>
        <v>-89.030000000000385</v>
      </c>
      <c r="E314">
        <f t="shared" si="20"/>
        <v>242.24963631845964</v>
      </c>
      <c r="F314">
        <f t="shared" si="21"/>
        <v>-77.996552988928357</v>
      </c>
    </row>
    <row r="315" spans="2:6" x14ac:dyDescent="0.35">
      <c r="B315">
        <f t="shared" si="22"/>
        <v>108.79999999999946</v>
      </c>
      <c r="C315">
        <f t="shared" si="23"/>
        <v>-236.16000000000122</v>
      </c>
      <c r="D315">
        <f t="shared" si="24"/>
        <v>-89.320000000000391</v>
      </c>
      <c r="E315">
        <f t="shared" si="20"/>
        <v>51.552115534743507</v>
      </c>
      <c r="F315">
        <f t="shared" si="21"/>
        <v>-101.87248455827876</v>
      </c>
    </row>
    <row r="316" spans="2:6" x14ac:dyDescent="0.35">
      <c r="B316">
        <f t="shared" si="22"/>
        <v>109.14999999999945</v>
      </c>
      <c r="C316">
        <f t="shared" si="23"/>
        <v>-236.93000000000123</v>
      </c>
      <c r="D316">
        <f t="shared" si="24"/>
        <v>-89.610000000000397</v>
      </c>
      <c r="E316">
        <f t="shared" si="20"/>
        <v>-142.66858146360431</v>
      </c>
      <c r="F316">
        <f t="shared" si="21"/>
        <v>-139.01814034664088</v>
      </c>
    </row>
    <row r="317" spans="2:6" x14ac:dyDescent="0.35">
      <c r="B317">
        <f t="shared" si="22"/>
        <v>109.49999999999945</v>
      </c>
      <c r="C317">
        <f t="shared" si="23"/>
        <v>-237.70000000000124</v>
      </c>
      <c r="D317">
        <f t="shared" si="24"/>
        <v>-89.900000000000404</v>
      </c>
      <c r="E317">
        <f t="shared" si="20"/>
        <v>-315.43431964796639</v>
      </c>
      <c r="F317">
        <f t="shared" si="21"/>
        <v>-183.73507713111258</v>
      </c>
    </row>
    <row r="318" spans="2:6" x14ac:dyDescent="0.35">
      <c r="B318">
        <f t="shared" si="22"/>
        <v>109.84999999999944</v>
      </c>
      <c r="C318">
        <f t="shared" si="23"/>
        <v>-238.47000000000125</v>
      </c>
      <c r="D318">
        <f t="shared" si="24"/>
        <v>-90.19000000000041</v>
      </c>
      <c r="E318">
        <f t="shared" si="20"/>
        <v>-445.23944291800808</v>
      </c>
      <c r="F318">
        <f t="shared" si="21"/>
        <v>-226.2971602640163</v>
      </c>
    </row>
    <row r="319" spans="2:6" x14ac:dyDescent="0.35">
      <c r="B319">
        <f t="shared" si="22"/>
        <v>110.19999999999943</v>
      </c>
      <c r="C319">
        <f t="shared" si="23"/>
        <v>-239.24000000000126</v>
      </c>
      <c r="D319">
        <f t="shared" si="24"/>
        <v>-90.480000000000416</v>
      </c>
      <c r="E319">
        <f t="shared" si="20"/>
        <v>-517.09987751209121</v>
      </c>
      <c r="F319">
        <f t="shared" si="21"/>
        <v>-254.77848018695215</v>
      </c>
    </row>
    <row r="320" spans="2:6" x14ac:dyDescent="0.35">
      <c r="B320">
        <f t="shared" si="22"/>
        <v>110.54999999999943</v>
      </c>
      <c r="C320">
        <f t="shared" si="23"/>
        <v>-240.01000000000127</v>
      </c>
      <c r="D320">
        <f t="shared" si="24"/>
        <v>-90.770000000000422</v>
      </c>
      <c r="E320">
        <f t="shared" si="20"/>
        <v>-524.54471190050106</v>
      </c>
      <c r="F320">
        <f t="shared" si="21"/>
        <v>-257.49207978984487</v>
      </c>
    </row>
    <row r="321" spans="2:6" x14ac:dyDescent="0.35">
      <c r="B321">
        <f t="shared" si="22"/>
        <v>110.89999999999942</v>
      </c>
      <c r="C321">
        <f t="shared" si="23"/>
        <v>-240.78000000000128</v>
      </c>
      <c r="D321">
        <f t="shared" si="24"/>
        <v>-91.060000000000429</v>
      </c>
      <c r="E321">
        <f t="shared" si="20"/>
        <v>-470.25098540515597</v>
      </c>
      <c r="F321">
        <f t="shared" si="21"/>
        <v>-225.58588896311232</v>
      </c>
    </row>
    <row r="322" spans="2:6" x14ac:dyDescent="0.35">
      <c r="B322">
        <f t="shared" si="22"/>
        <v>111.24999999999942</v>
      </c>
      <c r="C322">
        <f t="shared" si="23"/>
        <v>-241.55000000000129</v>
      </c>
      <c r="D322">
        <f t="shared" si="24"/>
        <v>-91.350000000000435</v>
      </c>
      <c r="E322">
        <f t="shared" si="20"/>
        <v>-365.24889518789109</v>
      </c>
      <c r="F322">
        <f t="shared" si="21"/>
        <v>-155.29608795500383</v>
      </c>
    </row>
    <row r="323" spans="2:6" x14ac:dyDescent="0.35">
      <c r="B323">
        <f t="shared" si="22"/>
        <v>111.59999999999941</v>
      </c>
      <c r="C323">
        <f t="shared" si="23"/>
        <v>-242.3200000000013</v>
      </c>
      <c r="D323">
        <f t="shared" si="24"/>
        <v>-91.640000000000441</v>
      </c>
      <c r="E323">
        <f t="shared" si="20"/>
        <v>-226.86131450668498</v>
      </c>
      <c r="F323">
        <f t="shared" si="21"/>
        <v>-49.40320910331053</v>
      </c>
    </row>
    <row r="324" spans="2:6" x14ac:dyDescent="0.35">
      <c r="B324">
        <f t="shared" si="22"/>
        <v>111.94999999999941</v>
      </c>
      <c r="C324">
        <f t="shared" si="23"/>
        <v>-243.09000000000131</v>
      </c>
      <c r="D324">
        <f t="shared" si="24"/>
        <v>-91.930000000000447</v>
      </c>
      <c r="E324">
        <f t="shared" si="20"/>
        <v>-75.747990919964082</v>
      </c>
      <c r="F324">
        <f t="shared" si="21"/>
        <v>82.433684303046618</v>
      </c>
    </row>
    <row r="325" spans="2:6" x14ac:dyDescent="0.35">
      <c r="B325">
        <f t="shared" si="22"/>
        <v>112.2999999999994</v>
      </c>
      <c r="C325">
        <f t="shared" si="23"/>
        <v>-243.86000000000132</v>
      </c>
      <c r="D325">
        <f t="shared" si="24"/>
        <v>-92.220000000000454</v>
      </c>
      <c r="E325">
        <f t="shared" si="20"/>
        <v>67.434043548879515</v>
      </c>
      <c r="F325">
        <f t="shared" si="21"/>
        <v>224.59613054603091</v>
      </c>
    </row>
    <row r="326" spans="2:6" x14ac:dyDescent="0.35">
      <c r="B326">
        <f t="shared" si="22"/>
        <v>112.64999999999939</v>
      </c>
      <c r="C326">
        <f t="shared" si="23"/>
        <v>-244.63000000000133</v>
      </c>
      <c r="D326">
        <f t="shared" si="24"/>
        <v>-92.51000000000046</v>
      </c>
      <c r="E326">
        <f t="shared" si="20"/>
        <v>185.19016785426967</v>
      </c>
      <c r="F326">
        <f t="shared" si="21"/>
        <v>357.58699427756807</v>
      </c>
    </row>
    <row r="327" spans="2:6" x14ac:dyDescent="0.35">
      <c r="B327">
        <f t="shared" si="22"/>
        <v>112.99999999999939</v>
      </c>
      <c r="C327">
        <f t="shared" si="23"/>
        <v>-245.40000000000134</v>
      </c>
      <c r="D327">
        <f t="shared" si="24"/>
        <v>-92.800000000000466</v>
      </c>
      <c r="E327">
        <f t="shared" ref="E327:E390" si="25">(B327-C327)*COS(D327)+C327*COS((B327/C327-1)*D327)</f>
        <v>265.64933391521345</v>
      </c>
      <c r="F327">
        <f t="shared" ref="F327:F390" si="26">(B327-C327)*SIN(D327)+C327*SIN((B327/C327-1)*D327)</f>
        <v>460.96745432300781</v>
      </c>
    </row>
    <row r="328" spans="2:6" x14ac:dyDescent="0.35">
      <c r="B328">
        <f t="shared" ref="B328:B391" si="27">B327+$B$2</f>
        <v>113.34999999999938</v>
      </c>
      <c r="C328">
        <f t="shared" ref="C328:C391" si="28">C327+$B$3</f>
        <v>-246.17000000000135</v>
      </c>
      <c r="D328">
        <f t="shared" ref="D328:D391" si="29">D327+$B$4</f>
        <v>-93.090000000000472</v>
      </c>
      <c r="E328">
        <f t="shared" si="25"/>
        <v>303.94154694107522</v>
      </c>
      <c r="F328">
        <f t="shared" si="26"/>
        <v>516.67916298566013</v>
      </c>
    </row>
    <row r="329" spans="2:6" x14ac:dyDescent="0.35">
      <c r="B329">
        <f t="shared" si="27"/>
        <v>113.69999999999938</v>
      </c>
      <c r="C329">
        <f t="shared" si="28"/>
        <v>-246.94000000000136</v>
      </c>
      <c r="D329">
        <f t="shared" si="29"/>
        <v>-93.380000000000479</v>
      </c>
      <c r="E329">
        <f t="shared" si="25"/>
        <v>302.30433467233388</v>
      </c>
      <c r="F329">
        <f t="shared" si="26"/>
        <v>512.19312614904379</v>
      </c>
    </row>
    <row r="330" spans="2:6" x14ac:dyDescent="0.35">
      <c r="B330">
        <f t="shared" si="27"/>
        <v>114.04999999999937</v>
      </c>
      <c r="C330">
        <f t="shared" si="28"/>
        <v>-247.71000000000137</v>
      </c>
      <c r="D330">
        <f t="shared" si="29"/>
        <v>-93.670000000000485</v>
      </c>
      <c r="E330">
        <f t="shared" si="25"/>
        <v>268.95778022921263</v>
      </c>
      <c r="F330">
        <f t="shared" si="26"/>
        <v>442.93514037717199</v>
      </c>
    </row>
    <row r="331" spans="2:6" x14ac:dyDescent="0.35">
      <c r="B331">
        <f t="shared" si="27"/>
        <v>114.39999999999937</v>
      </c>
      <c r="C331">
        <f t="shared" si="28"/>
        <v>-248.48000000000138</v>
      </c>
      <c r="D331">
        <f t="shared" si="29"/>
        <v>-93.960000000000491</v>
      </c>
      <c r="E331">
        <f t="shared" si="25"/>
        <v>216.00352361477121</v>
      </c>
      <c r="F331">
        <f t="shared" si="26"/>
        <v>313.54225435179183</v>
      </c>
    </row>
    <row r="332" spans="2:6" x14ac:dyDescent="0.35">
      <c r="B332">
        <f t="shared" si="27"/>
        <v>114.74999999999936</v>
      </c>
      <c r="C332">
        <f t="shared" si="28"/>
        <v>-249.25000000000139</v>
      </c>
      <c r="D332">
        <f t="shared" si="29"/>
        <v>-94.250000000000497</v>
      </c>
      <c r="E332">
        <f t="shared" si="25"/>
        <v>156.76989380015448</v>
      </c>
      <c r="F332">
        <f t="shared" si="26"/>
        <v>137.68949435367546</v>
      </c>
    </row>
    <row r="333" spans="2:6" x14ac:dyDescent="0.35">
      <c r="B333">
        <f t="shared" si="27"/>
        <v>115.09999999999935</v>
      </c>
      <c r="C333">
        <f t="shared" si="28"/>
        <v>-250.0200000000014</v>
      </c>
      <c r="D333">
        <f t="shared" si="29"/>
        <v>-94.540000000000504</v>
      </c>
      <c r="E333">
        <f t="shared" si="25"/>
        <v>103.11387784821551</v>
      </c>
      <c r="F333">
        <f t="shared" si="26"/>
        <v>-63.539485005980495</v>
      </c>
    </row>
    <row r="334" spans="2:6" x14ac:dyDescent="0.35">
      <c r="B334">
        <f t="shared" si="27"/>
        <v>115.44999999999935</v>
      </c>
      <c r="C334">
        <f t="shared" si="28"/>
        <v>-250.79000000000141</v>
      </c>
      <c r="D334">
        <f t="shared" si="29"/>
        <v>-94.83000000000051</v>
      </c>
      <c r="E334">
        <f t="shared" si="25"/>
        <v>63.185832155557193</v>
      </c>
      <c r="F334">
        <f t="shared" si="26"/>
        <v>-264.51972401450826</v>
      </c>
    </row>
    <row r="335" spans="2:6" x14ac:dyDescent="0.35">
      <c r="B335">
        <f t="shared" si="27"/>
        <v>115.79999999999934</v>
      </c>
      <c r="C335">
        <f t="shared" si="28"/>
        <v>-251.56000000000142</v>
      </c>
      <c r="D335">
        <f t="shared" si="29"/>
        <v>-95.120000000000516</v>
      </c>
      <c r="E335">
        <f t="shared" si="25"/>
        <v>40.066240565161451</v>
      </c>
      <c r="F335">
        <f t="shared" si="26"/>
        <v>-438.75965855663219</v>
      </c>
    </row>
    <row r="336" spans="2:6" x14ac:dyDescent="0.35">
      <c r="B336">
        <f t="shared" si="27"/>
        <v>116.14999999999934</v>
      </c>
      <c r="C336">
        <f t="shared" si="28"/>
        <v>-252.33000000000143</v>
      </c>
      <c r="D336">
        <f t="shared" si="29"/>
        <v>-95.410000000000522</v>
      </c>
      <c r="E336">
        <f t="shared" si="25"/>
        <v>31.513377911019248</v>
      </c>
      <c r="F336">
        <f t="shared" si="26"/>
        <v>-562.80905593729062</v>
      </c>
    </row>
    <row r="337" spans="2:6" x14ac:dyDescent="0.35">
      <c r="B337">
        <f t="shared" si="27"/>
        <v>116.49999999999933</v>
      </c>
      <c r="C337">
        <f t="shared" si="28"/>
        <v>-253.10000000000144</v>
      </c>
      <c r="D337">
        <f t="shared" si="29"/>
        <v>-95.700000000000529</v>
      </c>
      <c r="E337">
        <f t="shared" si="25"/>
        <v>30.847619570830986</v>
      </c>
      <c r="F337">
        <f t="shared" si="26"/>
        <v>-619.77700436868986</v>
      </c>
    </row>
    <row r="338" spans="2:6" x14ac:dyDescent="0.35">
      <c r="B338">
        <f t="shared" si="27"/>
        <v>116.84999999999933</v>
      </c>
      <c r="C338">
        <f t="shared" si="28"/>
        <v>-253.87000000000145</v>
      </c>
      <c r="D338">
        <f t="shared" si="29"/>
        <v>-95.990000000000535</v>
      </c>
      <c r="E338">
        <f t="shared" si="25"/>
        <v>28.781200252184391</v>
      </c>
      <c r="F338">
        <f t="shared" si="26"/>
        <v>-601.89179451942005</v>
      </c>
    </row>
    <row r="339" spans="2:6" x14ac:dyDescent="0.35">
      <c r="B339">
        <f t="shared" si="27"/>
        <v>117.19999999999932</v>
      </c>
      <c r="C339">
        <f t="shared" si="28"/>
        <v>-254.64000000000146</v>
      </c>
      <c r="D339">
        <f t="shared" si="29"/>
        <v>-96.280000000000541</v>
      </c>
      <c r="E339">
        <f t="shared" si="25"/>
        <v>15.821072045828771</v>
      </c>
      <c r="F339">
        <f t="shared" si="26"/>
        <v>-511.6853524132639</v>
      </c>
    </row>
    <row r="340" spans="2:6" x14ac:dyDescent="0.35">
      <c r="B340">
        <f t="shared" si="27"/>
        <v>117.54999999999932</v>
      </c>
      <c r="C340">
        <f t="shared" si="28"/>
        <v>-255.41000000000147</v>
      </c>
      <c r="D340">
        <f t="shared" si="29"/>
        <v>-96.570000000000547</v>
      </c>
      <c r="E340">
        <f t="shared" si="25"/>
        <v>-15.239592003884269</v>
      </c>
      <c r="F340">
        <f t="shared" si="26"/>
        <v>-361.60671804096194</v>
      </c>
    </row>
    <row r="341" spans="2:6" x14ac:dyDescent="0.35">
      <c r="B341">
        <f t="shared" si="27"/>
        <v>117.89999999999931</v>
      </c>
      <c r="C341">
        <f t="shared" si="28"/>
        <v>-256.18000000000148</v>
      </c>
      <c r="D341">
        <f t="shared" si="29"/>
        <v>-96.860000000000554</v>
      </c>
      <c r="E341">
        <f t="shared" si="25"/>
        <v>-67.247823843684216</v>
      </c>
      <c r="F341">
        <f t="shared" si="26"/>
        <v>-172.12476395284904</v>
      </c>
    </row>
    <row r="342" spans="2:6" x14ac:dyDescent="0.35">
      <c r="B342">
        <f t="shared" si="27"/>
        <v>118.2499999999993</v>
      </c>
      <c r="C342">
        <f t="shared" si="28"/>
        <v>-256.95000000000147</v>
      </c>
      <c r="D342">
        <f t="shared" si="29"/>
        <v>-97.15000000000056</v>
      </c>
      <c r="E342">
        <f t="shared" si="25"/>
        <v>-137.46915665561096</v>
      </c>
      <c r="F342">
        <f t="shared" si="26"/>
        <v>31.373255637014609</v>
      </c>
    </row>
    <row r="343" spans="2:6" x14ac:dyDescent="0.35">
      <c r="B343">
        <f t="shared" si="27"/>
        <v>118.5999999999993</v>
      </c>
      <c r="C343">
        <f t="shared" si="28"/>
        <v>-257.72000000000145</v>
      </c>
      <c r="D343">
        <f t="shared" si="29"/>
        <v>-97.440000000000566</v>
      </c>
      <c r="E343">
        <f t="shared" si="25"/>
        <v>-217.49669836666146</v>
      </c>
      <c r="F343">
        <f t="shared" si="26"/>
        <v>222.38540289527128</v>
      </c>
    </row>
    <row r="344" spans="2:6" x14ac:dyDescent="0.35">
      <c r="B344">
        <f t="shared" si="27"/>
        <v>118.94999999999929</v>
      </c>
      <c r="C344">
        <f t="shared" si="28"/>
        <v>-258.49000000000143</v>
      </c>
      <c r="D344">
        <f t="shared" si="29"/>
        <v>-97.730000000000572</v>
      </c>
      <c r="E344">
        <f t="shared" si="25"/>
        <v>-294.35986017434584</v>
      </c>
      <c r="F344">
        <f t="shared" si="26"/>
        <v>377.18794459287426</v>
      </c>
    </row>
    <row r="345" spans="2:6" x14ac:dyDescent="0.35">
      <c r="B345">
        <f t="shared" si="27"/>
        <v>119.29999999999929</v>
      </c>
      <c r="C345">
        <f t="shared" si="28"/>
        <v>-259.26000000000141</v>
      </c>
      <c r="D345">
        <f t="shared" si="29"/>
        <v>-98.020000000000579</v>
      </c>
      <c r="E345">
        <f t="shared" si="25"/>
        <v>-352.67426363063521</v>
      </c>
      <c r="F345">
        <f t="shared" si="26"/>
        <v>478.19618745753007</v>
      </c>
    </row>
    <row r="346" spans="2:6" x14ac:dyDescent="0.35">
      <c r="B346">
        <f t="shared" si="27"/>
        <v>119.64999999999928</v>
      </c>
      <c r="C346">
        <f t="shared" si="28"/>
        <v>-260.03000000000139</v>
      </c>
      <c r="D346">
        <f t="shared" si="29"/>
        <v>-98.310000000000585</v>
      </c>
      <c r="E346">
        <f t="shared" si="25"/>
        <v>-377.47095356738339</v>
      </c>
      <c r="F346">
        <f t="shared" si="26"/>
        <v>516.26787466309611</v>
      </c>
    </row>
    <row r="347" spans="2:6" x14ac:dyDescent="0.35">
      <c r="B347">
        <f t="shared" si="27"/>
        <v>119.99999999999928</v>
      </c>
      <c r="C347">
        <f t="shared" si="28"/>
        <v>-260.80000000000138</v>
      </c>
      <c r="D347">
        <f t="shared" si="29"/>
        <v>-98.600000000000591</v>
      </c>
      <c r="E347">
        <f t="shared" si="25"/>
        <v>-357.20114298359249</v>
      </c>
      <c r="F347">
        <f t="shared" si="26"/>
        <v>491.60687993052147</v>
      </c>
    </row>
    <row r="348" spans="2:6" x14ac:dyDescent="0.35">
      <c r="B348">
        <f t="shared" si="27"/>
        <v>120.34999999999927</v>
      </c>
      <c r="C348">
        <f t="shared" si="28"/>
        <v>-261.57000000000136</v>
      </c>
      <c r="D348">
        <f t="shared" si="29"/>
        <v>-98.890000000000597</v>
      </c>
      <c r="E348">
        <f t="shared" si="25"/>
        <v>-286.35933890821212</v>
      </c>
      <c r="F348">
        <f t="shared" si="26"/>
        <v>413.16356699360517</v>
      </c>
    </row>
    <row r="349" spans="2:6" x14ac:dyDescent="0.35">
      <c r="B349">
        <f t="shared" si="27"/>
        <v>120.69999999999926</v>
      </c>
      <c r="C349">
        <f t="shared" si="28"/>
        <v>-262.34000000000134</v>
      </c>
      <c r="D349">
        <f t="shared" si="29"/>
        <v>-99.180000000000604</v>
      </c>
      <c r="E349">
        <f t="shared" si="25"/>
        <v>-167.2144046118608</v>
      </c>
      <c r="F349">
        <f t="shared" si="26"/>
        <v>296.68109425883188</v>
      </c>
    </row>
    <row r="350" spans="2:6" x14ac:dyDescent="0.35">
      <c r="B350">
        <f t="shared" si="27"/>
        <v>121.04999999999926</v>
      </c>
      <c r="C350">
        <f t="shared" si="28"/>
        <v>-263.11000000000132</v>
      </c>
      <c r="D350">
        <f t="shared" si="29"/>
        <v>-99.47000000000061</v>
      </c>
      <c r="E350">
        <f t="shared" si="25"/>
        <v>-10.278728848978801</v>
      </c>
      <c r="F350">
        <f t="shared" si="26"/>
        <v>161.76060452215847</v>
      </c>
    </row>
    <row r="351" spans="2:6" x14ac:dyDescent="0.35">
      <c r="B351">
        <f t="shared" si="27"/>
        <v>121.39999999999925</v>
      </c>
      <c r="C351">
        <f t="shared" si="28"/>
        <v>-263.8800000000013</v>
      </c>
      <c r="D351">
        <f t="shared" si="29"/>
        <v>-99.760000000000616</v>
      </c>
      <c r="E351">
        <f t="shared" si="25"/>
        <v>166.6428525547984</v>
      </c>
      <c r="F351">
        <f t="shared" si="26"/>
        <v>28.474386475841129</v>
      </c>
    </row>
    <row r="352" spans="2:6" x14ac:dyDescent="0.35">
      <c r="B352">
        <f t="shared" si="27"/>
        <v>121.74999999999925</v>
      </c>
      <c r="C352">
        <f t="shared" si="28"/>
        <v>-264.65000000000128</v>
      </c>
      <c r="D352">
        <f t="shared" si="29"/>
        <v>-100.05000000000062</v>
      </c>
      <c r="E352">
        <f t="shared" si="25"/>
        <v>340.73646851894466</v>
      </c>
      <c r="F352">
        <f t="shared" si="26"/>
        <v>-85.881599994218789</v>
      </c>
    </row>
    <row r="353" spans="2:6" x14ac:dyDescent="0.35">
      <c r="B353">
        <f t="shared" si="27"/>
        <v>122.09999999999924</v>
      </c>
      <c r="C353">
        <f t="shared" si="28"/>
        <v>-265.42000000000127</v>
      </c>
      <c r="D353">
        <f t="shared" si="29"/>
        <v>-100.34000000000063</v>
      </c>
      <c r="E353">
        <f t="shared" si="25"/>
        <v>487.46885369155171</v>
      </c>
      <c r="F353">
        <f t="shared" si="26"/>
        <v>-169.34579884161167</v>
      </c>
    </row>
    <row r="354" spans="2:6" x14ac:dyDescent="0.35">
      <c r="B354">
        <f t="shared" si="27"/>
        <v>122.44999999999924</v>
      </c>
      <c r="C354">
        <f t="shared" si="28"/>
        <v>-266.19000000000125</v>
      </c>
      <c r="D354">
        <f t="shared" si="29"/>
        <v>-100.63000000000063</v>
      </c>
      <c r="E354">
        <f t="shared" si="25"/>
        <v>584.36920350727894</v>
      </c>
      <c r="F354">
        <f t="shared" si="26"/>
        <v>-216.74634215674294</v>
      </c>
    </row>
    <row r="355" spans="2:6" x14ac:dyDescent="0.35">
      <c r="B355">
        <f t="shared" si="27"/>
        <v>122.79999999999923</v>
      </c>
      <c r="C355">
        <f t="shared" si="28"/>
        <v>-266.96000000000123</v>
      </c>
      <c r="D355">
        <f t="shared" si="29"/>
        <v>-100.92000000000064</v>
      </c>
      <c r="E355">
        <f t="shared" si="25"/>
        <v>614.68567536321575</v>
      </c>
      <c r="F355">
        <f t="shared" si="26"/>
        <v>-229.847030888235</v>
      </c>
    </row>
    <row r="356" spans="2:6" x14ac:dyDescent="0.35">
      <c r="B356">
        <f t="shared" si="27"/>
        <v>123.14999999999922</v>
      </c>
      <c r="C356">
        <f t="shared" si="28"/>
        <v>-267.73000000000121</v>
      </c>
      <c r="D356">
        <f t="shared" si="29"/>
        <v>-101.21000000000065</v>
      </c>
      <c r="E356">
        <f t="shared" si="25"/>
        <v>570.29962793742766</v>
      </c>
      <c r="F356">
        <f t="shared" si="26"/>
        <v>-216.21731743591906</v>
      </c>
    </row>
    <row r="357" spans="2:6" x14ac:dyDescent="0.35">
      <c r="B357">
        <f t="shared" si="27"/>
        <v>123.49999999999922</v>
      </c>
      <c r="C357">
        <f t="shared" si="28"/>
        <v>-268.50000000000119</v>
      </c>
      <c r="D357">
        <f t="shared" si="29"/>
        <v>-101.50000000000065</v>
      </c>
      <c r="E357">
        <f t="shared" si="25"/>
        <v>453.38752388509704</v>
      </c>
      <c r="F357">
        <f t="shared" si="26"/>
        <v>-187.08942521484326</v>
      </c>
    </row>
    <row r="358" spans="2:6" x14ac:dyDescent="0.35">
      <c r="B358">
        <f t="shared" si="27"/>
        <v>123.84999999999921</v>
      </c>
      <c r="C358">
        <f t="shared" si="28"/>
        <v>-269.27000000000118</v>
      </c>
      <c r="D358">
        <f t="shared" si="29"/>
        <v>-101.79000000000066</v>
      </c>
      <c r="E358">
        <f t="shared" si="25"/>
        <v>276.51692310617682</v>
      </c>
      <c r="F358">
        <f t="shared" si="26"/>
        <v>-154.64461909361088</v>
      </c>
    </row>
    <row r="359" spans="2:6" x14ac:dyDescent="0.35">
      <c r="B359">
        <f t="shared" si="27"/>
        <v>124.19999999999921</v>
      </c>
      <c r="C359">
        <f t="shared" si="28"/>
        <v>-270.04000000000116</v>
      </c>
      <c r="D359">
        <f t="shared" si="29"/>
        <v>-102.08000000000067</v>
      </c>
      <c r="E359">
        <f t="shared" si="25"/>
        <v>61.116853232181242</v>
      </c>
      <c r="F359">
        <f t="shared" si="26"/>
        <v>-129.26683463531083</v>
      </c>
    </row>
    <row r="360" spans="2:6" x14ac:dyDescent="0.35">
      <c r="B360">
        <f t="shared" si="27"/>
        <v>124.5499999999992</v>
      </c>
      <c r="C360">
        <f t="shared" si="28"/>
        <v>-270.81000000000114</v>
      </c>
      <c r="D360">
        <f t="shared" si="29"/>
        <v>-102.37000000000067</v>
      </c>
      <c r="E360">
        <f t="shared" si="25"/>
        <v>-165.46860814672644</v>
      </c>
      <c r="F360">
        <f t="shared" si="26"/>
        <v>-117.2985155595498</v>
      </c>
    </row>
    <row r="361" spans="2:6" x14ac:dyDescent="0.35">
      <c r="B361">
        <f t="shared" si="27"/>
        <v>124.8999999999992</v>
      </c>
      <c r="C361">
        <f t="shared" si="28"/>
        <v>-271.58000000000112</v>
      </c>
      <c r="D361">
        <f t="shared" si="29"/>
        <v>-102.66000000000068</v>
      </c>
      <c r="E361">
        <f t="shared" si="25"/>
        <v>-373.89718655267973</v>
      </c>
      <c r="F361">
        <f t="shared" si="26"/>
        <v>-119.73160824891411</v>
      </c>
    </row>
    <row r="362" spans="2:6" x14ac:dyDescent="0.35">
      <c r="B362">
        <f t="shared" si="27"/>
        <v>125.24999999999919</v>
      </c>
      <c r="C362">
        <f t="shared" si="28"/>
        <v>-272.3500000000011</v>
      </c>
      <c r="D362">
        <f t="shared" si="29"/>
        <v>-102.95000000000068</v>
      </c>
      <c r="E362">
        <f t="shared" si="25"/>
        <v>-537.10371852179878</v>
      </c>
      <c r="F362">
        <f t="shared" si="26"/>
        <v>-132.08495232010281</v>
      </c>
    </row>
    <row r="363" spans="2:6" x14ac:dyDescent="0.35">
      <c r="B363">
        <f t="shared" si="27"/>
        <v>125.59999999999918</v>
      </c>
      <c r="C363">
        <f t="shared" si="28"/>
        <v>-273.12000000000108</v>
      </c>
      <c r="D363">
        <f t="shared" si="29"/>
        <v>-103.24000000000069</v>
      </c>
      <c r="E363">
        <f t="shared" si="25"/>
        <v>-634.2570787727459</v>
      </c>
      <c r="F363">
        <f t="shared" si="26"/>
        <v>-145.49093479506075</v>
      </c>
    </row>
    <row r="364" spans="2:6" x14ac:dyDescent="0.35">
      <c r="B364">
        <f t="shared" si="27"/>
        <v>125.94999999999918</v>
      </c>
      <c r="C364">
        <f t="shared" si="28"/>
        <v>-273.89000000000107</v>
      </c>
      <c r="D364">
        <f t="shared" si="29"/>
        <v>-103.5300000000007</v>
      </c>
      <c r="E364">
        <f t="shared" si="25"/>
        <v>-653.76961779948238</v>
      </c>
      <c r="F364">
        <f t="shared" si="26"/>
        <v>-148.78091808564034</v>
      </c>
    </row>
    <row r="365" spans="2:6" x14ac:dyDescent="0.35">
      <c r="B365">
        <f t="shared" si="27"/>
        <v>126.29999999999917</v>
      </c>
      <c r="C365">
        <f t="shared" si="28"/>
        <v>-274.66000000000105</v>
      </c>
      <c r="D365">
        <f t="shared" si="29"/>
        <v>-103.8200000000007</v>
      </c>
      <c r="E365">
        <f t="shared" si="25"/>
        <v>-594.88288917321552</v>
      </c>
      <c r="F365">
        <f t="shared" si="26"/>
        <v>-131.16338071220477</v>
      </c>
    </row>
    <row r="366" spans="2:6" x14ac:dyDescent="0.35">
      <c r="B366">
        <f t="shared" si="27"/>
        <v>126.64999999999917</v>
      </c>
      <c r="C366">
        <f t="shared" si="28"/>
        <v>-275.43000000000103</v>
      </c>
      <c r="D366">
        <f t="shared" si="29"/>
        <v>-104.11000000000071</v>
      </c>
      <c r="E366">
        <f t="shared" si="25"/>
        <v>-467.58601641516384</v>
      </c>
      <c r="F366">
        <f t="shared" si="26"/>
        <v>-84.967125608453046</v>
      </c>
    </row>
    <row r="367" spans="2:6" x14ac:dyDescent="0.35">
      <c r="B367">
        <f t="shared" si="27"/>
        <v>126.99999999999916</v>
      </c>
      <c r="C367">
        <f t="shared" si="28"/>
        <v>-276.20000000000101</v>
      </c>
      <c r="D367">
        <f t="shared" si="29"/>
        <v>-104.40000000000072</v>
      </c>
      <c r="E367">
        <f t="shared" si="25"/>
        <v>-290.89607972328605</v>
      </c>
      <c r="F367">
        <f t="shared" si="26"/>
        <v>-7.8974037724741493</v>
      </c>
    </row>
    <row r="368" spans="2:6" x14ac:dyDescent="0.35">
      <c r="B368">
        <f t="shared" si="27"/>
        <v>127.34999999999916</v>
      </c>
      <c r="C368">
        <f t="shared" si="28"/>
        <v>-276.97000000000099</v>
      </c>
      <c r="D368">
        <f t="shared" si="29"/>
        <v>-104.69000000000072</v>
      </c>
      <c r="E368">
        <f t="shared" si="25"/>
        <v>-89.797149065951757</v>
      </c>
      <c r="F368">
        <f t="shared" si="26"/>
        <v>95.668896887351252</v>
      </c>
    </row>
    <row r="369" spans="2:6" x14ac:dyDescent="0.35">
      <c r="B369">
        <f t="shared" si="27"/>
        <v>127.69999999999915</v>
      </c>
      <c r="C369">
        <f t="shared" si="28"/>
        <v>-277.74000000000098</v>
      </c>
      <c r="D369">
        <f t="shared" si="29"/>
        <v>-104.98000000000073</v>
      </c>
      <c r="E369">
        <f t="shared" si="25"/>
        <v>108.64924489400377</v>
      </c>
      <c r="F369">
        <f t="shared" si="26"/>
        <v>214.65454362714536</v>
      </c>
    </row>
    <row r="370" spans="2:6" x14ac:dyDescent="0.35">
      <c r="B370">
        <f t="shared" si="27"/>
        <v>128.04999999999916</v>
      </c>
      <c r="C370">
        <f t="shared" si="28"/>
        <v>-278.51000000000096</v>
      </c>
      <c r="D370">
        <f t="shared" si="29"/>
        <v>-105.27000000000073</v>
      </c>
      <c r="E370">
        <f t="shared" si="25"/>
        <v>279.38084716703162</v>
      </c>
      <c r="F370">
        <f t="shared" si="26"/>
        <v>332.59620463396385</v>
      </c>
    </row>
    <row r="371" spans="2:6" x14ac:dyDescent="0.35">
      <c r="B371">
        <f t="shared" si="27"/>
        <v>128.39999999999915</v>
      </c>
      <c r="C371">
        <f t="shared" si="28"/>
        <v>-279.28000000000094</v>
      </c>
      <c r="D371">
        <f t="shared" si="29"/>
        <v>-105.56000000000074</v>
      </c>
      <c r="E371">
        <f t="shared" si="25"/>
        <v>402.93772399429997</v>
      </c>
      <c r="F371">
        <f t="shared" si="26"/>
        <v>430.12887704195896</v>
      </c>
    </row>
    <row r="372" spans="2:6" x14ac:dyDescent="0.35">
      <c r="B372">
        <f t="shared" si="27"/>
        <v>128.74999999999915</v>
      </c>
      <c r="C372">
        <f t="shared" si="28"/>
        <v>-280.05000000000092</v>
      </c>
      <c r="D372">
        <f t="shared" si="29"/>
        <v>-105.85000000000075</v>
      </c>
      <c r="E372">
        <f t="shared" si="25"/>
        <v>468.02280272007488</v>
      </c>
      <c r="F372">
        <f t="shared" si="26"/>
        <v>488.24314414957644</v>
      </c>
    </row>
    <row r="373" spans="2:6" x14ac:dyDescent="0.35">
      <c r="B373">
        <f t="shared" si="27"/>
        <v>129.09999999999914</v>
      </c>
      <c r="C373">
        <f t="shared" si="28"/>
        <v>-280.8200000000009</v>
      </c>
      <c r="D373">
        <f t="shared" si="29"/>
        <v>-106.14000000000075</v>
      </c>
      <c r="E373">
        <f t="shared" si="25"/>
        <v>472.63815349522878</v>
      </c>
      <c r="F373">
        <f t="shared" si="26"/>
        <v>491.75910372892088</v>
      </c>
    </row>
    <row r="374" spans="2:6" x14ac:dyDescent="0.35">
      <c r="B374">
        <f t="shared" si="27"/>
        <v>129.44999999999914</v>
      </c>
      <c r="C374">
        <f t="shared" si="28"/>
        <v>-281.59000000000088</v>
      </c>
      <c r="D374">
        <f t="shared" si="29"/>
        <v>-106.43000000000076</v>
      </c>
      <c r="E374">
        <f t="shared" si="25"/>
        <v>423.66431493737986</v>
      </c>
      <c r="F374">
        <f t="shared" si="26"/>
        <v>432.39779943534575</v>
      </c>
    </row>
    <row r="375" spans="2:6" x14ac:dyDescent="0.35">
      <c r="B375">
        <f t="shared" si="27"/>
        <v>129.79999999999913</v>
      </c>
      <c r="C375">
        <f t="shared" si="28"/>
        <v>-282.36000000000087</v>
      </c>
      <c r="D375">
        <f t="shared" si="29"/>
        <v>-106.72000000000077</v>
      </c>
      <c r="E375">
        <f t="shared" si="25"/>
        <v>335.01745300520724</v>
      </c>
      <c r="F375">
        <f t="shared" si="26"/>
        <v>310.87721013093238</v>
      </c>
    </row>
    <row r="376" spans="2:6" x14ac:dyDescent="0.35">
      <c r="B376">
        <f t="shared" si="27"/>
        <v>130.14999999999912</v>
      </c>
      <c r="C376">
        <f t="shared" si="28"/>
        <v>-283.13000000000085</v>
      </c>
      <c r="D376">
        <f t="shared" si="29"/>
        <v>-107.01000000000077</v>
      </c>
      <c r="E376">
        <f t="shared" si="25"/>
        <v>224.75854569829303</v>
      </c>
      <c r="F376">
        <f t="shared" si="26"/>
        <v>137.6095556507575</v>
      </c>
    </row>
    <row r="377" spans="2:6" x14ac:dyDescent="0.35">
      <c r="B377">
        <f t="shared" si="27"/>
        <v>130.49999999999912</v>
      </c>
      <c r="C377">
        <f t="shared" si="28"/>
        <v>-283.90000000000083</v>
      </c>
      <c r="D377">
        <f t="shared" si="29"/>
        <v>-107.30000000000078</v>
      </c>
      <c r="E377">
        <f t="shared" si="25"/>
        <v>111.69876708165543</v>
      </c>
      <c r="F377">
        <f t="shared" si="26"/>
        <v>-68.194321872619668</v>
      </c>
    </row>
    <row r="378" spans="2:6" x14ac:dyDescent="0.35">
      <c r="B378">
        <f t="shared" si="27"/>
        <v>130.84999999999911</v>
      </c>
      <c r="C378">
        <f t="shared" si="28"/>
        <v>-284.67000000000081</v>
      </c>
      <c r="D378">
        <f t="shared" si="29"/>
        <v>-107.59000000000079</v>
      </c>
      <c r="E378">
        <f t="shared" si="25"/>
        <v>12.116867828482839</v>
      </c>
      <c r="F378">
        <f t="shared" si="26"/>
        <v>-280.93804080778062</v>
      </c>
    </row>
    <row r="379" spans="2:6" x14ac:dyDescent="0.35">
      <c r="B379">
        <f t="shared" si="27"/>
        <v>131.19999999999911</v>
      </c>
      <c r="C379">
        <f t="shared" si="28"/>
        <v>-285.44000000000079</v>
      </c>
      <c r="D379">
        <f t="shared" si="29"/>
        <v>-107.88000000000079</v>
      </c>
      <c r="E379">
        <f t="shared" si="25"/>
        <v>-62.833866845643939</v>
      </c>
      <c r="F379">
        <f t="shared" si="26"/>
        <v>-472.23076842527166</v>
      </c>
    </row>
    <row r="380" spans="2:6" x14ac:dyDescent="0.35">
      <c r="B380">
        <f t="shared" si="27"/>
        <v>131.5499999999991</v>
      </c>
      <c r="C380">
        <f t="shared" si="28"/>
        <v>-286.21000000000078</v>
      </c>
      <c r="D380">
        <f t="shared" si="29"/>
        <v>-108.1700000000008</v>
      </c>
      <c r="E380">
        <f t="shared" si="25"/>
        <v>-108.59160974423584</v>
      </c>
      <c r="F380">
        <f t="shared" si="26"/>
        <v>-615.10472151698173</v>
      </c>
    </row>
    <row r="381" spans="2:6" x14ac:dyDescent="0.35">
      <c r="B381">
        <f t="shared" si="27"/>
        <v>131.8999999999991</v>
      </c>
      <c r="C381">
        <f t="shared" si="28"/>
        <v>-286.98000000000076</v>
      </c>
      <c r="D381">
        <f t="shared" si="29"/>
        <v>-108.4600000000008</v>
      </c>
      <c r="E381">
        <f t="shared" si="25"/>
        <v>-127.30353037899047</v>
      </c>
      <c r="F381">
        <f t="shared" si="26"/>
        <v>-688.18503755433926</v>
      </c>
    </row>
    <row r="382" spans="2:6" x14ac:dyDescent="0.35">
      <c r="B382">
        <f t="shared" si="27"/>
        <v>132.24999999999909</v>
      </c>
      <c r="C382">
        <f t="shared" si="28"/>
        <v>-287.75000000000074</v>
      </c>
      <c r="D382">
        <f t="shared" si="29"/>
        <v>-108.75000000000081</v>
      </c>
      <c r="E382">
        <f t="shared" si="25"/>
        <v>-126.6262020585098</v>
      </c>
      <c r="F382">
        <f t="shared" si="26"/>
        <v>-679.12798342138763</v>
      </c>
    </row>
    <row r="383" spans="2:6" x14ac:dyDescent="0.35">
      <c r="B383">
        <f t="shared" si="27"/>
        <v>132.59999999999908</v>
      </c>
      <c r="C383">
        <f t="shared" si="28"/>
        <v>-288.52000000000072</v>
      </c>
      <c r="D383">
        <f t="shared" si="29"/>
        <v>-109.04000000000082</v>
      </c>
      <c r="E383">
        <f t="shared" si="25"/>
        <v>-117.48390391871274</v>
      </c>
      <c r="F383">
        <f t="shared" si="26"/>
        <v>-586.74950491307789</v>
      </c>
    </row>
    <row r="384" spans="2:6" x14ac:dyDescent="0.35">
      <c r="B384">
        <f t="shared" si="27"/>
        <v>132.94999999999908</v>
      </c>
      <c r="C384">
        <f t="shared" si="28"/>
        <v>-289.2900000000007</v>
      </c>
      <c r="D384">
        <f t="shared" si="29"/>
        <v>-109.33000000000082</v>
      </c>
      <c r="E384">
        <f t="shared" si="25"/>
        <v>-111.25058708687286</v>
      </c>
      <c r="F384">
        <f t="shared" si="26"/>
        <v>-421.47172377474476</v>
      </c>
    </row>
    <row r="385" spans="2:6" x14ac:dyDescent="0.35">
      <c r="B385">
        <f t="shared" si="27"/>
        <v>133.29999999999907</v>
      </c>
      <c r="C385">
        <f t="shared" si="28"/>
        <v>-290.06000000000068</v>
      </c>
      <c r="D385">
        <f t="shared" si="29"/>
        <v>-109.62000000000083</v>
      </c>
      <c r="E385">
        <f t="shared" si="25"/>
        <v>-116.92468541969669</v>
      </c>
      <c r="F385">
        <f t="shared" si="26"/>
        <v>-203.98632812585311</v>
      </c>
    </row>
    <row r="386" spans="2:6" x14ac:dyDescent="0.35">
      <c r="B386">
        <f t="shared" si="27"/>
        <v>133.64999999999907</v>
      </c>
      <c r="C386">
        <f t="shared" si="28"/>
        <v>-290.83000000000067</v>
      </c>
      <c r="D386">
        <f t="shared" si="29"/>
        <v>-109.91000000000084</v>
      </c>
      <c r="E386">
        <f t="shared" si="25"/>
        <v>-138.8633760956929</v>
      </c>
      <c r="F386">
        <f t="shared" si="26"/>
        <v>37.674618183830184</v>
      </c>
    </row>
    <row r="387" spans="2:6" x14ac:dyDescent="0.35">
      <c r="B387">
        <f t="shared" si="27"/>
        <v>133.99999999999906</v>
      </c>
      <c r="C387">
        <f t="shared" si="28"/>
        <v>-291.60000000000065</v>
      </c>
      <c r="D387">
        <f t="shared" si="29"/>
        <v>-110.20000000000084</v>
      </c>
      <c r="E387">
        <f t="shared" si="25"/>
        <v>-175.53476219253707</v>
      </c>
      <c r="F387">
        <f t="shared" si="26"/>
        <v>272.20747522671559</v>
      </c>
    </row>
    <row r="388" spans="2:6" x14ac:dyDescent="0.35">
      <c r="B388">
        <f t="shared" si="27"/>
        <v>134.34999999999906</v>
      </c>
      <c r="C388">
        <f t="shared" si="28"/>
        <v>-292.37000000000063</v>
      </c>
      <c r="D388">
        <f t="shared" si="29"/>
        <v>-110.49000000000085</v>
      </c>
      <c r="E388">
        <f t="shared" si="25"/>
        <v>-219.55225407339265</v>
      </c>
      <c r="F388">
        <f t="shared" si="26"/>
        <v>469.60388968913446</v>
      </c>
    </row>
    <row r="389" spans="2:6" x14ac:dyDescent="0.35">
      <c r="B389">
        <f t="shared" si="27"/>
        <v>134.69999999999905</v>
      </c>
      <c r="C389">
        <f t="shared" si="28"/>
        <v>-293.14000000000061</v>
      </c>
      <c r="D389">
        <f t="shared" si="29"/>
        <v>-110.78000000000085</v>
      </c>
      <c r="E389">
        <f t="shared" si="25"/>
        <v>-259.01031959418242</v>
      </c>
      <c r="F389">
        <f t="shared" si="26"/>
        <v>605.49181663791796</v>
      </c>
    </row>
    <row r="390" spans="2:6" x14ac:dyDescent="0.35">
      <c r="B390">
        <f t="shared" si="27"/>
        <v>135.04999999999905</v>
      </c>
      <c r="C390">
        <f t="shared" si="28"/>
        <v>-293.91000000000059</v>
      </c>
      <c r="D390">
        <f t="shared" si="29"/>
        <v>-111.07000000000086</v>
      </c>
      <c r="E390">
        <f t="shared" si="25"/>
        <v>-279.88934036072936</v>
      </c>
      <c r="F390">
        <f t="shared" si="26"/>
        <v>664.56494996199717</v>
      </c>
    </row>
    <row r="391" spans="2:6" x14ac:dyDescent="0.35">
      <c r="B391">
        <f t="shared" si="27"/>
        <v>135.39999999999904</v>
      </c>
      <c r="C391">
        <f t="shared" si="28"/>
        <v>-294.68000000000058</v>
      </c>
      <c r="D391">
        <f t="shared" si="29"/>
        <v>-111.36000000000087</v>
      </c>
      <c r="E391">
        <f t="shared" ref="E391:E454" si="30">(B391-C391)*COS(D391)+C391*COS((B391/C391-1)*D391)</f>
        <v>-269.08563494131704</v>
      </c>
      <c r="F391">
        <f t="shared" ref="F391:F454" si="31">(B391-C391)*SIN(D391)+C391*SIN((B391/C391-1)*D391)</f>
        <v>642.56717936134567</v>
      </c>
    </row>
    <row r="392" spans="2:6" x14ac:dyDescent="0.35">
      <c r="B392">
        <f t="shared" ref="B392:B455" si="32">B391+$B$2</f>
        <v>135.74999999999903</v>
      </c>
      <c r="C392">
        <f t="shared" ref="C392:C455" si="33">C391+$B$3</f>
        <v>-295.45000000000056</v>
      </c>
      <c r="D392">
        <f t="shared" ref="D392:D455" si="34">D391+$B$4</f>
        <v>-111.65000000000087</v>
      </c>
      <c r="E392">
        <f t="shared" si="30"/>
        <v>-217.49011291200321</v>
      </c>
      <c r="F392">
        <f t="shared" si="31"/>
        <v>546.53940579246489</v>
      </c>
    </row>
    <row r="393" spans="2:6" x14ac:dyDescent="0.35">
      <c r="B393">
        <f t="shared" si="32"/>
        <v>136.09999999999903</v>
      </c>
      <c r="C393">
        <f t="shared" si="33"/>
        <v>-296.22000000000054</v>
      </c>
      <c r="D393">
        <f t="shared" si="34"/>
        <v>-111.94000000000088</v>
      </c>
      <c r="E393">
        <f t="shared" si="30"/>
        <v>-122.51095824585531</v>
      </c>
      <c r="F393">
        <f t="shared" si="31"/>
        <v>393.32408892872729</v>
      </c>
    </row>
    <row r="394" spans="2:6" x14ac:dyDescent="0.35">
      <c r="B394">
        <f t="shared" si="32"/>
        <v>136.44999999999902</v>
      </c>
      <c r="C394">
        <f t="shared" si="33"/>
        <v>-296.99000000000052</v>
      </c>
      <c r="D394">
        <f t="shared" si="34"/>
        <v>-112.23000000000089</v>
      </c>
      <c r="E394">
        <f t="shared" si="30"/>
        <v>10.480906140161608</v>
      </c>
      <c r="F394">
        <f t="shared" si="31"/>
        <v>206.6091690354275</v>
      </c>
    </row>
    <row r="395" spans="2:6" x14ac:dyDescent="0.35">
      <c r="B395">
        <f t="shared" si="32"/>
        <v>136.79999999999902</v>
      </c>
      <c r="C395">
        <f t="shared" si="33"/>
        <v>-297.7600000000005</v>
      </c>
      <c r="D395">
        <f t="shared" si="34"/>
        <v>-112.52000000000089</v>
      </c>
      <c r="E395">
        <f t="shared" si="30"/>
        <v>168.12315530431749</v>
      </c>
      <c r="F395">
        <f t="shared" si="31"/>
        <v>13.02880610874243</v>
      </c>
    </row>
    <row r="396" spans="2:6" x14ac:dyDescent="0.35">
      <c r="B396">
        <f t="shared" si="32"/>
        <v>137.14999999999901</v>
      </c>
      <c r="C396">
        <f t="shared" si="33"/>
        <v>-298.53000000000048</v>
      </c>
      <c r="D396">
        <f t="shared" si="34"/>
        <v>-112.8100000000009</v>
      </c>
      <c r="E396">
        <f t="shared" si="30"/>
        <v>330.54078799429664</v>
      </c>
      <c r="F396">
        <f t="shared" si="31"/>
        <v>-162.0161491896865</v>
      </c>
    </row>
    <row r="397" spans="2:6" x14ac:dyDescent="0.35">
      <c r="B397">
        <f t="shared" si="32"/>
        <v>137.49999999999901</v>
      </c>
      <c r="C397">
        <f t="shared" si="33"/>
        <v>-299.30000000000047</v>
      </c>
      <c r="D397">
        <f t="shared" si="34"/>
        <v>-113.1000000000009</v>
      </c>
      <c r="E397">
        <f t="shared" si="30"/>
        <v>474.15004626610443</v>
      </c>
      <c r="F397">
        <f t="shared" si="31"/>
        <v>-298.12401897081111</v>
      </c>
    </row>
    <row r="398" spans="2:6" x14ac:dyDescent="0.35">
      <c r="B398">
        <f t="shared" si="32"/>
        <v>137.849999999999</v>
      </c>
      <c r="C398">
        <f t="shared" si="33"/>
        <v>-300.07000000000045</v>
      </c>
      <c r="D398">
        <f t="shared" si="34"/>
        <v>-113.39000000000091</v>
      </c>
      <c r="E398">
        <f t="shared" si="30"/>
        <v>575.35726856356916</v>
      </c>
      <c r="F398">
        <f t="shared" si="31"/>
        <v>-382.63821843341395</v>
      </c>
    </row>
    <row r="399" spans="2:6" x14ac:dyDescent="0.35">
      <c r="B399">
        <f t="shared" si="32"/>
        <v>138.19999999999899</v>
      </c>
      <c r="C399">
        <f t="shared" si="33"/>
        <v>-300.84000000000043</v>
      </c>
      <c r="D399">
        <f t="shared" si="34"/>
        <v>-113.68000000000092</v>
      </c>
      <c r="E399">
        <f t="shared" si="30"/>
        <v>614.54397346688995</v>
      </c>
      <c r="F399">
        <f t="shared" si="31"/>
        <v>-411.95691798822008</v>
      </c>
    </row>
    <row r="400" spans="2:6" x14ac:dyDescent="0.35">
      <c r="B400">
        <f t="shared" si="32"/>
        <v>138.54999999999899</v>
      </c>
      <c r="C400">
        <f t="shared" si="33"/>
        <v>-301.61000000000041</v>
      </c>
      <c r="D400">
        <f t="shared" si="34"/>
        <v>-113.97000000000092</v>
      </c>
      <c r="E400">
        <f t="shared" si="30"/>
        <v>579.65395017992478</v>
      </c>
      <c r="F400">
        <f t="shared" si="31"/>
        <v>-391.24834386790349</v>
      </c>
    </row>
    <row r="401" spans="2:6" x14ac:dyDescent="0.35">
      <c r="B401">
        <f t="shared" si="32"/>
        <v>138.89999999999898</v>
      </c>
      <c r="C401">
        <f t="shared" si="33"/>
        <v>-302.38000000000039</v>
      </c>
      <c r="D401">
        <f t="shared" si="34"/>
        <v>-114.26000000000093</v>
      </c>
      <c r="E401">
        <f t="shared" si="30"/>
        <v>468.74117610252358</v>
      </c>
      <c r="F401">
        <f t="shared" si="31"/>
        <v>-332.6943307635986</v>
      </c>
    </row>
    <row r="402" spans="2:6" x14ac:dyDescent="0.35">
      <c r="B402">
        <f t="shared" si="32"/>
        <v>139.24999999999898</v>
      </c>
      <c r="C402">
        <f t="shared" si="33"/>
        <v>-303.15000000000038</v>
      </c>
      <c r="D402">
        <f t="shared" si="34"/>
        <v>-114.55000000000094</v>
      </c>
      <c r="E402">
        <f t="shared" si="30"/>
        <v>290.99398711539618</v>
      </c>
      <c r="F402">
        <f t="shared" si="31"/>
        <v>-252.63857625678</v>
      </c>
    </row>
    <row r="403" spans="2:6" x14ac:dyDescent="0.35">
      <c r="B403">
        <f t="shared" si="32"/>
        <v>139.59999999999897</v>
      </c>
      <c r="C403">
        <f t="shared" si="33"/>
        <v>-303.92000000000036</v>
      </c>
      <c r="D403">
        <f t="shared" si="34"/>
        <v>-114.84000000000094</v>
      </c>
      <c r="E403">
        <f t="shared" si="30"/>
        <v>65.996050268799834</v>
      </c>
      <c r="F403">
        <f t="shared" si="31"/>
        <v>-168.19865691482511</v>
      </c>
    </row>
    <row r="404" spans="2:6" x14ac:dyDescent="0.35">
      <c r="B404">
        <f t="shared" si="32"/>
        <v>139.94999999999897</v>
      </c>
      <c r="C404">
        <f t="shared" si="33"/>
        <v>-304.69000000000034</v>
      </c>
      <c r="D404">
        <f t="shared" si="34"/>
        <v>-115.13000000000095</v>
      </c>
      <c r="E404">
        <f t="shared" si="30"/>
        <v>-178.72260752142506</v>
      </c>
      <c r="F404">
        <f t="shared" si="31"/>
        <v>-93.980736996332155</v>
      </c>
    </row>
    <row r="405" spans="2:6" x14ac:dyDescent="0.35">
      <c r="B405">
        <f t="shared" si="32"/>
        <v>140.29999999999896</v>
      </c>
      <c r="C405">
        <f t="shared" si="33"/>
        <v>-305.46000000000032</v>
      </c>
      <c r="D405">
        <f t="shared" si="34"/>
        <v>-115.42000000000095</v>
      </c>
      <c r="E405">
        <f t="shared" si="30"/>
        <v>-411.50083854392801</v>
      </c>
      <c r="F405">
        <f t="shared" si="31"/>
        <v>-39.499882555546151</v>
      </c>
    </row>
    <row r="406" spans="2:6" x14ac:dyDescent="0.35">
      <c r="B406">
        <f t="shared" si="32"/>
        <v>140.64999999999895</v>
      </c>
      <c r="C406">
        <f t="shared" si="33"/>
        <v>-306.2300000000003</v>
      </c>
      <c r="D406">
        <f t="shared" si="34"/>
        <v>-115.71000000000096</v>
      </c>
      <c r="E406">
        <f t="shared" si="30"/>
        <v>-601.14623922405474</v>
      </c>
      <c r="F406">
        <f t="shared" si="31"/>
        <v>-7.7644886104377235</v>
      </c>
    </row>
    <row r="407" spans="2:6" x14ac:dyDescent="0.35">
      <c r="B407">
        <f t="shared" si="32"/>
        <v>140.99999999999895</v>
      </c>
      <c r="C407">
        <f t="shared" si="33"/>
        <v>-307.00000000000028</v>
      </c>
      <c r="D407">
        <f t="shared" si="34"/>
        <v>-116.00000000000097</v>
      </c>
      <c r="E407">
        <f t="shared" si="30"/>
        <v>-721.59423551726991</v>
      </c>
      <c r="F407">
        <f t="shared" si="31"/>
        <v>4.7426704870219112</v>
      </c>
    </row>
    <row r="408" spans="2:6" x14ac:dyDescent="0.35">
      <c r="B408">
        <f t="shared" si="32"/>
        <v>141.34999999999894</v>
      </c>
      <c r="C408">
        <f t="shared" si="33"/>
        <v>-307.77000000000027</v>
      </c>
      <c r="D408">
        <f t="shared" si="34"/>
        <v>-116.29000000000097</v>
      </c>
      <c r="E408">
        <f t="shared" si="30"/>
        <v>-755.87738551150937</v>
      </c>
      <c r="F408">
        <f t="shared" si="31"/>
        <v>6.7205377646087605</v>
      </c>
    </row>
    <row r="409" spans="2:6" x14ac:dyDescent="0.35">
      <c r="B409">
        <f t="shared" si="32"/>
        <v>141.69999999999894</v>
      </c>
      <c r="C409">
        <f t="shared" si="33"/>
        <v>-308.54000000000025</v>
      </c>
      <c r="D409">
        <f t="shared" si="34"/>
        <v>-116.58000000000098</v>
      </c>
      <c r="E409">
        <f t="shared" si="30"/>
        <v>-698.75798487201087</v>
      </c>
      <c r="F409">
        <f t="shared" si="31"/>
        <v>9.6348845315457368</v>
      </c>
    </row>
    <row r="410" spans="2:6" x14ac:dyDescent="0.35">
      <c r="B410">
        <f t="shared" si="32"/>
        <v>142.04999999999893</v>
      </c>
      <c r="C410">
        <f t="shared" si="33"/>
        <v>-309.31000000000023</v>
      </c>
      <c r="D410">
        <f t="shared" si="34"/>
        <v>-116.87000000000099</v>
      </c>
      <c r="E410">
        <f t="shared" si="30"/>
        <v>-557.58877962717179</v>
      </c>
      <c r="F410">
        <f t="shared" si="31"/>
        <v>24.727235635824798</v>
      </c>
    </row>
    <row r="411" spans="2:6" x14ac:dyDescent="0.35">
      <c r="B411">
        <f t="shared" si="32"/>
        <v>142.39999999999893</v>
      </c>
      <c r="C411">
        <f t="shared" si="33"/>
        <v>-310.08000000000021</v>
      </c>
      <c r="D411">
        <f t="shared" si="34"/>
        <v>-117.16000000000099</v>
      </c>
      <c r="E411">
        <f t="shared" si="30"/>
        <v>-351.25291708058387</v>
      </c>
      <c r="F411">
        <f t="shared" si="31"/>
        <v>60.053086563050442</v>
      </c>
    </row>
    <row r="412" spans="2:6" x14ac:dyDescent="0.35">
      <c r="B412">
        <f t="shared" si="32"/>
        <v>142.74999999999892</v>
      </c>
      <c r="C412">
        <f t="shared" si="33"/>
        <v>-310.85000000000019</v>
      </c>
      <c r="D412">
        <f t="shared" si="34"/>
        <v>-117.450000000001</v>
      </c>
      <c r="E412">
        <f t="shared" si="30"/>
        <v>-107.3471383942872</v>
      </c>
      <c r="F412">
        <f t="shared" si="31"/>
        <v>118.15277758136892</v>
      </c>
    </row>
    <row r="413" spans="2:6" x14ac:dyDescent="0.35">
      <c r="B413">
        <f t="shared" si="32"/>
        <v>143.09999999999891</v>
      </c>
      <c r="C413">
        <f t="shared" si="33"/>
        <v>-311.62000000000018</v>
      </c>
      <c r="D413">
        <f t="shared" si="34"/>
        <v>-117.740000000001</v>
      </c>
      <c r="E413">
        <f t="shared" si="30"/>
        <v>141.94123563160846</v>
      </c>
      <c r="F413">
        <f t="shared" si="31"/>
        <v>194.84326048726837</v>
      </c>
    </row>
    <row r="414" spans="2:6" x14ac:dyDescent="0.35">
      <c r="B414">
        <f t="shared" si="32"/>
        <v>143.44999999999891</v>
      </c>
      <c r="C414">
        <f t="shared" si="33"/>
        <v>-312.39000000000016</v>
      </c>
      <c r="D414">
        <f t="shared" si="34"/>
        <v>-118.03000000000101</v>
      </c>
      <c r="E414">
        <f t="shared" si="30"/>
        <v>364.60132620413629</v>
      </c>
      <c r="F414">
        <f t="shared" si="31"/>
        <v>279.41107213147711</v>
      </c>
    </row>
    <row r="415" spans="2:6" x14ac:dyDescent="0.35">
      <c r="B415">
        <f t="shared" si="32"/>
        <v>143.7999999999989</v>
      </c>
      <c r="C415">
        <f t="shared" si="33"/>
        <v>-313.16000000000014</v>
      </c>
      <c r="D415">
        <f t="shared" si="34"/>
        <v>-118.32000000000102</v>
      </c>
      <c r="E415">
        <f t="shared" si="30"/>
        <v>533.44665689256317</v>
      </c>
      <c r="F415">
        <f t="shared" si="31"/>
        <v>356.223296959403</v>
      </c>
    </row>
    <row r="416" spans="2:6" x14ac:dyDescent="0.35">
      <c r="B416">
        <f t="shared" si="32"/>
        <v>144.1499999999989</v>
      </c>
      <c r="C416">
        <f t="shared" si="33"/>
        <v>-313.93000000000012</v>
      </c>
      <c r="D416">
        <f t="shared" si="34"/>
        <v>-118.61000000000102</v>
      </c>
      <c r="E416">
        <f t="shared" si="30"/>
        <v>629.90784620055092</v>
      </c>
      <c r="F416">
        <f t="shared" si="31"/>
        <v>407.50175229071067</v>
      </c>
    </row>
    <row r="417" spans="2:6" x14ac:dyDescent="0.35">
      <c r="B417">
        <f t="shared" si="32"/>
        <v>144.49999999999889</v>
      </c>
      <c r="C417">
        <f t="shared" si="33"/>
        <v>-314.7000000000001</v>
      </c>
      <c r="D417">
        <f t="shared" si="34"/>
        <v>-118.90000000000103</v>
      </c>
      <c r="E417">
        <f t="shared" si="30"/>
        <v>646.38348567400556</v>
      </c>
      <c r="F417">
        <f t="shared" si="31"/>
        <v>416.77562724387099</v>
      </c>
    </row>
    <row r="418" spans="2:6" x14ac:dyDescent="0.35">
      <c r="B418">
        <f t="shared" si="32"/>
        <v>144.84999999999889</v>
      </c>
      <c r="C418">
        <f t="shared" si="33"/>
        <v>-315.47000000000008</v>
      </c>
      <c r="D418">
        <f t="shared" si="34"/>
        <v>-119.19000000000104</v>
      </c>
      <c r="E418">
        <f t="shared" si="30"/>
        <v>586.80912580346899</v>
      </c>
      <c r="F418">
        <f t="shared" si="31"/>
        <v>372.38201934755034</v>
      </c>
    </row>
    <row r="419" spans="2:6" x14ac:dyDescent="0.35">
      <c r="B419">
        <f t="shared" si="32"/>
        <v>145.19999999999888</v>
      </c>
      <c r="C419">
        <f t="shared" si="33"/>
        <v>-316.24000000000007</v>
      </c>
      <c r="D419">
        <f t="shared" si="34"/>
        <v>-119.48000000000104</v>
      </c>
      <c r="E419">
        <f t="shared" si="30"/>
        <v>465.40501976109863</v>
      </c>
      <c r="F419">
        <f t="shared" si="31"/>
        <v>270.35031346489922</v>
      </c>
    </row>
    <row r="420" spans="2:6" x14ac:dyDescent="0.35">
      <c r="B420">
        <f t="shared" si="32"/>
        <v>145.54999999999887</v>
      </c>
      <c r="C420">
        <f t="shared" si="33"/>
        <v>-317.01000000000005</v>
      </c>
      <c r="D420">
        <f t="shared" si="34"/>
        <v>-119.77000000000105</v>
      </c>
      <c r="E420">
        <f t="shared" si="30"/>
        <v>303.86652776358306</v>
      </c>
      <c r="F420">
        <f t="shared" si="31"/>
        <v>116.09343036577437</v>
      </c>
    </row>
    <row r="421" spans="2:6" x14ac:dyDescent="0.35">
      <c r="B421">
        <f t="shared" si="32"/>
        <v>145.89999999999887</v>
      </c>
      <c r="C421">
        <f t="shared" si="33"/>
        <v>-317.78000000000003</v>
      </c>
      <c r="D421">
        <f t="shared" si="34"/>
        <v>-120.06000000000105</v>
      </c>
      <c r="E421">
        <f t="shared" si="30"/>
        <v>127.51492710324652</v>
      </c>
      <c r="F421">
        <f t="shared" si="31"/>
        <v>-75.476556950615247</v>
      </c>
    </row>
    <row r="422" spans="2:6" x14ac:dyDescent="0.35">
      <c r="B422">
        <f t="shared" si="32"/>
        <v>146.24999999999886</v>
      </c>
      <c r="C422">
        <f t="shared" si="33"/>
        <v>-318.55</v>
      </c>
      <c r="D422">
        <f t="shared" si="34"/>
        <v>-120.35000000000106</v>
      </c>
      <c r="E422">
        <f t="shared" si="30"/>
        <v>-38.912312912262507</v>
      </c>
      <c r="F422">
        <f t="shared" si="31"/>
        <v>-281.52167962914092</v>
      </c>
    </row>
    <row r="423" spans="2:6" x14ac:dyDescent="0.35">
      <c r="B423">
        <f t="shared" si="32"/>
        <v>146.59999999999886</v>
      </c>
      <c r="C423">
        <f t="shared" si="33"/>
        <v>-319.32</v>
      </c>
      <c r="D423">
        <f t="shared" si="34"/>
        <v>-120.64000000000107</v>
      </c>
      <c r="E423">
        <f t="shared" si="30"/>
        <v>-175.11076522986701</v>
      </c>
      <c r="F423">
        <f t="shared" si="31"/>
        <v>-474.35584543208614</v>
      </c>
    </row>
    <row r="424" spans="2:6" x14ac:dyDescent="0.35">
      <c r="B424">
        <f t="shared" si="32"/>
        <v>146.94999999999885</v>
      </c>
      <c r="C424">
        <f t="shared" si="33"/>
        <v>-320.08999999999997</v>
      </c>
      <c r="D424">
        <f t="shared" si="34"/>
        <v>-120.93000000000107</v>
      </c>
      <c r="E424">
        <f t="shared" si="30"/>
        <v>-268.06003537257891</v>
      </c>
      <c r="F424">
        <f t="shared" si="31"/>
        <v>-625.56909571792653</v>
      </c>
    </row>
    <row r="425" spans="2:6" x14ac:dyDescent="0.35">
      <c r="B425">
        <f t="shared" si="32"/>
        <v>147.29999999999885</v>
      </c>
      <c r="C425">
        <f t="shared" si="33"/>
        <v>-320.85999999999996</v>
      </c>
      <c r="D425">
        <f t="shared" si="34"/>
        <v>-121.22000000000108</v>
      </c>
      <c r="E425">
        <f t="shared" si="30"/>
        <v>-313.43126596625956</v>
      </c>
      <c r="F425">
        <f t="shared" si="31"/>
        <v>-710.53945817459771</v>
      </c>
    </row>
    <row r="426" spans="2:6" x14ac:dyDescent="0.35">
      <c r="B426">
        <f t="shared" si="32"/>
        <v>147.64999999999884</v>
      </c>
      <c r="C426">
        <f t="shared" si="33"/>
        <v>-321.62999999999994</v>
      </c>
      <c r="D426">
        <f t="shared" si="34"/>
        <v>-121.51000000000109</v>
      </c>
      <c r="E426">
        <f t="shared" si="30"/>
        <v>-315.37264309307858</v>
      </c>
      <c r="F426">
        <f t="shared" si="31"/>
        <v>-712.58233402338078</v>
      </c>
    </row>
    <row r="427" spans="2:6" x14ac:dyDescent="0.35">
      <c r="B427">
        <f t="shared" si="32"/>
        <v>147.99999999999883</v>
      </c>
      <c r="C427">
        <f t="shared" si="33"/>
        <v>-322.39999999999992</v>
      </c>
      <c r="D427">
        <f t="shared" si="34"/>
        <v>-121.80000000000109</v>
      </c>
      <c r="E427">
        <f t="shared" si="30"/>
        <v>-284.78750977313956</v>
      </c>
      <c r="F427">
        <f t="shared" si="31"/>
        <v>-626.02406919845794</v>
      </c>
    </row>
    <row r="428" spans="2:6" x14ac:dyDescent="0.35">
      <c r="B428">
        <f t="shared" si="32"/>
        <v>148.34999999999883</v>
      </c>
      <c r="C428">
        <f t="shared" si="33"/>
        <v>-323.1699999999999</v>
      </c>
      <c r="D428">
        <f t="shared" si="34"/>
        <v>-122.0900000000011</v>
      </c>
      <c r="E428">
        <f t="shared" si="30"/>
        <v>-236.48701746200325</v>
      </c>
      <c r="F428">
        <f t="shared" si="31"/>
        <v>-457.64705818287962</v>
      </c>
    </row>
    <row r="429" spans="2:6" x14ac:dyDescent="0.35">
      <c r="B429">
        <f t="shared" si="32"/>
        <v>148.69999999999882</v>
      </c>
      <c r="C429">
        <f t="shared" si="33"/>
        <v>-323.93999999999988</v>
      </c>
      <c r="D429">
        <f t="shared" si="34"/>
        <v>-122.3800000000011</v>
      </c>
      <c r="E429">
        <f t="shared" si="30"/>
        <v>-185.7934711493769</v>
      </c>
      <c r="F429">
        <f t="shared" si="31"/>
        <v>-226.21284526565142</v>
      </c>
    </row>
    <row r="430" spans="2:6" x14ac:dyDescent="0.35">
      <c r="B430">
        <f t="shared" si="32"/>
        <v>149.04999999999882</v>
      </c>
      <c r="C430">
        <f t="shared" si="33"/>
        <v>-324.70999999999987</v>
      </c>
      <c r="D430">
        <f t="shared" si="34"/>
        <v>-122.67000000000111</v>
      </c>
      <c r="E430">
        <f t="shared" si="30"/>
        <v>-145.25757076804132</v>
      </c>
      <c r="F430">
        <f t="shared" si="31"/>
        <v>39.915808794447685</v>
      </c>
    </row>
    <row r="431" spans="2:6" x14ac:dyDescent="0.35">
      <c r="B431">
        <f t="shared" si="32"/>
        <v>149.39999999999881</v>
      </c>
      <c r="C431">
        <f t="shared" si="33"/>
        <v>-325.47999999999985</v>
      </c>
      <c r="D431">
        <f t="shared" si="34"/>
        <v>-122.96000000000112</v>
      </c>
      <c r="E431">
        <f t="shared" si="30"/>
        <v>-122.11779966856506</v>
      </c>
      <c r="F431">
        <f t="shared" si="31"/>
        <v>306.71621405779376</v>
      </c>
    </row>
    <row r="432" spans="2:6" x14ac:dyDescent="0.35">
      <c r="B432">
        <f t="shared" si="32"/>
        <v>149.74999999999881</v>
      </c>
      <c r="C432">
        <f t="shared" si="33"/>
        <v>-326.24999999999983</v>
      </c>
      <c r="D432">
        <f t="shared" si="34"/>
        <v>-123.25000000000112</v>
      </c>
      <c r="E432">
        <f t="shared" si="30"/>
        <v>-116.98031115342278</v>
      </c>
      <c r="F432">
        <f t="shared" si="31"/>
        <v>539.40796946045043</v>
      </c>
    </row>
    <row r="433" spans="2:6" x14ac:dyDescent="0.35">
      <c r="B433">
        <f t="shared" si="32"/>
        <v>150.0999999999988</v>
      </c>
      <c r="C433">
        <f t="shared" si="33"/>
        <v>-327.01999999999981</v>
      </c>
      <c r="D433">
        <f t="shared" si="34"/>
        <v>-123.54000000000113</v>
      </c>
      <c r="E433">
        <f t="shared" si="30"/>
        <v>-123.96048257054933</v>
      </c>
      <c r="F433">
        <f t="shared" si="31"/>
        <v>707.54670210511199</v>
      </c>
    </row>
    <row r="434" spans="2:6" x14ac:dyDescent="0.35">
      <c r="B434">
        <f t="shared" si="32"/>
        <v>150.44999999999879</v>
      </c>
      <c r="C434">
        <f t="shared" si="33"/>
        <v>-327.78999999999979</v>
      </c>
      <c r="D434">
        <f t="shared" si="34"/>
        <v>-123.83000000000114</v>
      </c>
      <c r="E434">
        <f t="shared" si="30"/>
        <v>-132.24620343861727</v>
      </c>
      <c r="F434">
        <f t="shared" si="31"/>
        <v>789.50007653906823</v>
      </c>
    </row>
    <row r="435" spans="2:6" x14ac:dyDescent="0.35">
      <c r="B435">
        <f t="shared" si="32"/>
        <v>150.79999999999879</v>
      </c>
      <c r="C435">
        <f t="shared" si="33"/>
        <v>-328.55999999999977</v>
      </c>
      <c r="D435">
        <f t="shared" si="34"/>
        <v>-124.12000000000114</v>
      </c>
      <c r="E435">
        <f t="shared" si="30"/>
        <v>-128.76927112389507</v>
      </c>
      <c r="F435">
        <f t="shared" si="31"/>
        <v>775.59191017472813</v>
      </c>
    </row>
    <row r="436" spans="2:6" x14ac:dyDescent="0.35">
      <c r="B436">
        <f t="shared" si="32"/>
        <v>151.14999999999878</v>
      </c>
      <c r="C436">
        <f t="shared" si="33"/>
        <v>-329.32999999999976</v>
      </c>
      <c r="D436">
        <f t="shared" si="34"/>
        <v>-124.41000000000115</v>
      </c>
      <c r="E436">
        <f t="shared" si="30"/>
        <v>-101.45512222910668</v>
      </c>
      <c r="F436">
        <f t="shared" si="31"/>
        <v>669.41494497552048</v>
      </c>
    </row>
    <row r="437" spans="2:6" x14ac:dyDescent="0.35">
      <c r="B437">
        <f t="shared" si="32"/>
        <v>151.49999999999878</v>
      </c>
      <c r="C437">
        <f t="shared" si="33"/>
        <v>-330.09999999999974</v>
      </c>
      <c r="D437">
        <f t="shared" si="34"/>
        <v>-124.70000000000115</v>
      </c>
      <c r="E437">
        <f t="shared" si="30"/>
        <v>-42.402485057136403</v>
      </c>
      <c r="F437">
        <f t="shared" si="31"/>
        <v>487.11129580743329</v>
      </c>
    </row>
    <row r="438" spans="2:6" x14ac:dyDescent="0.35">
      <c r="B438">
        <f t="shared" si="32"/>
        <v>151.84999999999877</v>
      </c>
      <c r="C438">
        <f t="shared" si="33"/>
        <v>-330.86999999999972</v>
      </c>
      <c r="D438">
        <f t="shared" si="34"/>
        <v>-124.99000000000116</v>
      </c>
      <c r="E438">
        <f t="shared" si="30"/>
        <v>49.654045165019909</v>
      </c>
      <c r="F438">
        <f t="shared" si="31"/>
        <v>254.75148706945922</v>
      </c>
    </row>
    <row r="439" spans="2:6" x14ac:dyDescent="0.35">
      <c r="B439">
        <f t="shared" si="32"/>
        <v>152.19999999999877</v>
      </c>
      <c r="C439">
        <f t="shared" si="33"/>
        <v>-331.6399999999997</v>
      </c>
      <c r="D439">
        <f t="shared" si="34"/>
        <v>-125.28000000000117</v>
      </c>
      <c r="E439">
        <f t="shared" si="30"/>
        <v>168.12302694771165</v>
      </c>
      <c r="F439">
        <f t="shared" si="31"/>
        <v>4.2521392230428887</v>
      </c>
    </row>
    <row r="440" spans="2:6" x14ac:dyDescent="0.35">
      <c r="B440">
        <f t="shared" si="32"/>
        <v>152.54999999999876</v>
      </c>
      <c r="C440">
        <f t="shared" si="33"/>
        <v>-332.40999999999968</v>
      </c>
      <c r="D440">
        <f t="shared" si="34"/>
        <v>-125.57000000000117</v>
      </c>
      <c r="E440">
        <f t="shared" si="30"/>
        <v>298.87865088272895</v>
      </c>
      <c r="F440">
        <f t="shared" si="31"/>
        <v>-231.49353440260788</v>
      </c>
    </row>
    <row r="441" spans="2:6" x14ac:dyDescent="0.35">
      <c r="B441">
        <f t="shared" si="32"/>
        <v>152.89999999999876</v>
      </c>
      <c r="C441">
        <f t="shared" si="33"/>
        <v>-333.17999999999967</v>
      </c>
      <c r="D441">
        <f t="shared" si="34"/>
        <v>-125.86000000000118</v>
      </c>
      <c r="E441">
        <f t="shared" si="30"/>
        <v>422.14491960176201</v>
      </c>
      <c r="F441">
        <f t="shared" si="31"/>
        <v>-423.47863433693487</v>
      </c>
    </row>
    <row r="442" spans="2:6" x14ac:dyDescent="0.35">
      <c r="B442">
        <f t="shared" si="32"/>
        <v>153.24999999999875</v>
      </c>
      <c r="C442">
        <f t="shared" si="33"/>
        <v>-333.94999999999965</v>
      </c>
      <c r="D442">
        <f t="shared" si="34"/>
        <v>-126.15000000000119</v>
      </c>
      <c r="E442">
        <f t="shared" si="30"/>
        <v>515.6658885218352</v>
      </c>
      <c r="F442">
        <f t="shared" si="31"/>
        <v>-550.65966290499534</v>
      </c>
    </row>
    <row r="443" spans="2:6" x14ac:dyDescent="0.35">
      <c r="B443">
        <f t="shared" si="32"/>
        <v>153.59999999999874</v>
      </c>
      <c r="C443">
        <f t="shared" si="33"/>
        <v>-334.71999999999963</v>
      </c>
      <c r="D443">
        <f t="shared" si="34"/>
        <v>-126.44000000000119</v>
      </c>
      <c r="E443">
        <f t="shared" si="30"/>
        <v>558.63539618929872</v>
      </c>
      <c r="F443">
        <f t="shared" si="31"/>
        <v>-602.61393381582775</v>
      </c>
    </row>
    <row r="444" spans="2:6" x14ac:dyDescent="0.35">
      <c r="B444">
        <f t="shared" si="32"/>
        <v>153.94999999999874</v>
      </c>
      <c r="C444">
        <f t="shared" si="33"/>
        <v>-335.48999999999961</v>
      </c>
      <c r="D444">
        <f t="shared" si="34"/>
        <v>-126.7300000000012</v>
      </c>
      <c r="E444">
        <f t="shared" si="30"/>
        <v>535.69800757104213</v>
      </c>
      <c r="F444">
        <f t="shared" si="31"/>
        <v>-580.3937196471727</v>
      </c>
    </row>
    <row r="445" spans="2:6" x14ac:dyDescent="0.35">
      <c r="B445">
        <f t="shared" si="32"/>
        <v>154.29999999999873</v>
      </c>
      <c r="C445">
        <f t="shared" si="33"/>
        <v>-336.25999999999959</v>
      </c>
      <c r="D445">
        <f t="shared" si="34"/>
        <v>-127.0200000000012</v>
      </c>
      <c r="E445">
        <f t="shared" si="30"/>
        <v>440.29140275109125</v>
      </c>
      <c r="F445">
        <f t="shared" si="31"/>
        <v>-495.50488938951838</v>
      </c>
    </row>
    <row r="446" spans="2:6" x14ac:dyDescent="0.35">
      <c r="B446">
        <f t="shared" si="32"/>
        <v>154.64999999999873</v>
      </c>
      <c r="C446">
        <f t="shared" si="33"/>
        <v>-337.02999999999957</v>
      </c>
      <c r="D446">
        <f t="shared" si="34"/>
        <v>-127.31000000000121</v>
      </c>
      <c r="E446">
        <f t="shared" si="30"/>
        <v>276.689177474394</v>
      </c>
      <c r="F446">
        <f t="shared" si="31"/>
        <v>-367.2560226555338</v>
      </c>
    </row>
    <row r="447" spans="2:6" x14ac:dyDescent="0.35">
      <c r="B447">
        <f t="shared" si="32"/>
        <v>154.99999999999872</v>
      </c>
      <c r="C447">
        <f t="shared" si="33"/>
        <v>-337.79999999999956</v>
      </c>
      <c r="D447">
        <f t="shared" si="34"/>
        <v>-127.60000000000122</v>
      </c>
      <c r="E447">
        <f t="shared" si="30"/>
        <v>60.308973878572488</v>
      </c>
      <c r="F447">
        <f t="shared" si="31"/>
        <v>-218.99410367613595</v>
      </c>
    </row>
    <row r="448" spans="2:6" x14ac:dyDescent="0.35">
      <c r="B448">
        <f t="shared" si="32"/>
        <v>155.34999999999872</v>
      </c>
      <c r="C448">
        <f t="shared" si="33"/>
        <v>-338.56999999999954</v>
      </c>
      <c r="D448">
        <f t="shared" si="34"/>
        <v>-127.89000000000122</v>
      </c>
      <c r="E448">
        <f t="shared" si="30"/>
        <v>-183.85998152161716</v>
      </c>
      <c r="F448">
        <f t="shared" si="31"/>
        <v>-73.918622124942715</v>
      </c>
    </row>
    <row r="449" spans="2:6" x14ac:dyDescent="0.35">
      <c r="B449">
        <f t="shared" si="32"/>
        <v>155.69999999999871</v>
      </c>
      <c r="C449">
        <f t="shared" si="33"/>
        <v>-339.33999999999952</v>
      </c>
      <c r="D449">
        <f t="shared" si="34"/>
        <v>-128.18000000000123</v>
      </c>
      <c r="E449">
        <f t="shared" si="30"/>
        <v>-424.53276225261249</v>
      </c>
      <c r="F449">
        <f t="shared" si="31"/>
        <v>48.78223522792905</v>
      </c>
    </row>
    <row r="450" spans="2:6" x14ac:dyDescent="0.35">
      <c r="B450">
        <f t="shared" si="32"/>
        <v>156.0499999999987</v>
      </c>
      <c r="C450">
        <f t="shared" si="33"/>
        <v>-340.1099999999995</v>
      </c>
      <c r="D450">
        <f t="shared" si="34"/>
        <v>-128.47000000000122</v>
      </c>
      <c r="E450">
        <f t="shared" si="30"/>
        <v>-628.62989204459461</v>
      </c>
      <c r="F450">
        <f t="shared" si="31"/>
        <v>136.80919611668332</v>
      </c>
    </row>
    <row r="451" spans="2:6" x14ac:dyDescent="0.35">
      <c r="B451">
        <f t="shared" si="32"/>
        <v>156.3999999999987</v>
      </c>
      <c r="C451">
        <f t="shared" si="33"/>
        <v>-340.87999999999948</v>
      </c>
      <c r="D451">
        <f t="shared" si="34"/>
        <v>-128.76000000000121</v>
      </c>
      <c r="E451">
        <f t="shared" si="30"/>
        <v>-766.29976654753602</v>
      </c>
      <c r="F451">
        <f t="shared" si="31"/>
        <v>186.1746318769242</v>
      </c>
    </row>
    <row r="452" spans="2:6" x14ac:dyDescent="0.35">
      <c r="B452">
        <f t="shared" si="32"/>
        <v>156.74999999999869</v>
      </c>
      <c r="C452">
        <f t="shared" si="33"/>
        <v>-341.64999999999947</v>
      </c>
      <c r="D452">
        <f t="shared" si="34"/>
        <v>-129.05000000000121</v>
      </c>
      <c r="E452">
        <f t="shared" si="30"/>
        <v>-815.64836700128239</v>
      </c>
      <c r="F452">
        <f t="shared" si="31"/>
        <v>200.97704649238597</v>
      </c>
    </row>
    <row r="453" spans="2:6" x14ac:dyDescent="0.35">
      <c r="B453">
        <f t="shared" si="32"/>
        <v>157.09999999999869</v>
      </c>
      <c r="C453">
        <f t="shared" si="33"/>
        <v>-342.41999999999945</v>
      </c>
      <c r="D453">
        <f t="shared" si="34"/>
        <v>-129.3400000000012</v>
      </c>
      <c r="E453">
        <f t="shared" si="30"/>
        <v>-766.38925303954784</v>
      </c>
      <c r="F453">
        <f t="shared" si="31"/>
        <v>191.63933137351961</v>
      </c>
    </row>
    <row r="454" spans="2:6" x14ac:dyDescent="0.35">
      <c r="B454">
        <f t="shared" si="32"/>
        <v>157.44999999999868</v>
      </c>
      <c r="C454">
        <f t="shared" si="33"/>
        <v>-343.18999999999943</v>
      </c>
      <c r="D454">
        <f t="shared" si="34"/>
        <v>-129.63000000000119</v>
      </c>
      <c r="E454">
        <f t="shared" si="30"/>
        <v>-621.7883376667728</v>
      </c>
      <c r="F454">
        <f t="shared" si="31"/>
        <v>172.00323818849009</v>
      </c>
    </row>
    <row r="455" spans="2:6" x14ac:dyDescent="0.35">
      <c r="B455">
        <f t="shared" si="32"/>
        <v>157.79999999999868</v>
      </c>
      <c r="C455">
        <f t="shared" si="33"/>
        <v>-343.95999999999941</v>
      </c>
      <c r="D455">
        <f t="shared" si="34"/>
        <v>-129.92000000000118</v>
      </c>
      <c r="E455">
        <f t="shared" ref="E455:E518" si="35">(B455-C455)*COS(D455)+C455*COS((B455/C455-1)*D455)</f>
        <v>-398.54828041505868</v>
      </c>
      <c r="F455">
        <f t="shared" ref="F455:F518" si="36">(B455-C455)*SIN(D455)+C455*SIN((B455/C455-1)*D455)</f>
        <v>155.87777893451141</v>
      </c>
    </row>
    <row r="456" spans="2:6" x14ac:dyDescent="0.35">
      <c r="B456">
        <f t="shared" ref="B456:B519" si="37">B455+$B$2</f>
        <v>158.14999999999867</v>
      </c>
      <c r="C456">
        <f t="shared" ref="C456:C519" si="38">C455+$B$3</f>
        <v>-344.72999999999939</v>
      </c>
      <c r="D456">
        <f t="shared" ref="D456:D519" si="39">D455+$B$4</f>
        <v>-130.21000000000117</v>
      </c>
      <c r="E456">
        <f t="shared" si="35"/>
        <v>-124.61167189579973</v>
      </c>
      <c r="F456">
        <f t="shared" si="36"/>
        <v>153.73266993365263</v>
      </c>
    </row>
    <row r="457" spans="2:6" x14ac:dyDescent="0.35">
      <c r="B457">
        <f t="shared" si="37"/>
        <v>158.49999999999866</v>
      </c>
      <c r="C457">
        <f t="shared" si="38"/>
        <v>-345.49999999999937</v>
      </c>
      <c r="D457">
        <f t="shared" si="39"/>
        <v>-130.50000000000117</v>
      </c>
      <c r="E457">
        <f t="shared" si="35"/>
        <v>164.79576206197788</v>
      </c>
      <c r="F457">
        <f t="shared" si="36"/>
        <v>170.19297730141176</v>
      </c>
    </row>
    <row r="458" spans="2:6" x14ac:dyDescent="0.35">
      <c r="B458">
        <f t="shared" si="37"/>
        <v>158.84999999999866</v>
      </c>
      <c r="C458">
        <f t="shared" si="38"/>
        <v>-346.26999999999936</v>
      </c>
      <c r="D458">
        <f t="shared" si="39"/>
        <v>-130.79000000000116</v>
      </c>
      <c r="E458">
        <f t="shared" si="35"/>
        <v>432.2690361773133</v>
      </c>
      <c r="F458">
        <f t="shared" si="36"/>
        <v>202.83438422461376</v>
      </c>
    </row>
    <row r="459" spans="2:6" x14ac:dyDescent="0.35">
      <c r="B459">
        <f t="shared" si="37"/>
        <v>159.19999999999865</v>
      </c>
      <c r="C459">
        <f t="shared" si="38"/>
        <v>-347.03999999999934</v>
      </c>
      <c r="D459">
        <f t="shared" si="39"/>
        <v>-131.08000000000115</v>
      </c>
      <c r="E459">
        <f t="shared" si="35"/>
        <v>643.67054735590136</v>
      </c>
      <c r="F459">
        <f t="shared" si="36"/>
        <v>242.52854224109527</v>
      </c>
    </row>
    <row r="460" spans="2:6" x14ac:dyDescent="0.35">
      <c r="B460">
        <f t="shared" si="37"/>
        <v>159.54999999999865</v>
      </c>
      <c r="C460">
        <f t="shared" si="38"/>
        <v>-347.80999999999932</v>
      </c>
      <c r="D460">
        <f t="shared" si="39"/>
        <v>-131.37000000000114</v>
      </c>
      <c r="E460">
        <f t="shared" si="35"/>
        <v>773.05699753158683</v>
      </c>
      <c r="F460">
        <f t="shared" si="36"/>
        <v>275.29026580112065</v>
      </c>
    </row>
    <row r="461" spans="2:6" x14ac:dyDescent="0.35">
      <c r="B461">
        <f t="shared" si="37"/>
        <v>159.89999999999864</v>
      </c>
      <c r="C461">
        <f t="shared" si="38"/>
        <v>-348.5799999999993</v>
      </c>
      <c r="D461">
        <f t="shared" si="39"/>
        <v>-131.66000000000113</v>
      </c>
      <c r="E461">
        <f t="shared" si="35"/>
        <v>806.3094985335606</v>
      </c>
      <c r="F461">
        <f t="shared" si="36"/>
        <v>285.2871957735</v>
      </c>
    </row>
    <row r="462" spans="2:6" x14ac:dyDescent="0.35">
      <c r="B462">
        <f t="shared" si="37"/>
        <v>160.24999999999864</v>
      </c>
      <c r="C462">
        <f t="shared" si="38"/>
        <v>-349.34999999999928</v>
      </c>
      <c r="D462">
        <f t="shared" si="39"/>
        <v>-131.95000000000113</v>
      </c>
      <c r="E462">
        <f t="shared" si="35"/>
        <v>742.90447476007137</v>
      </c>
      <c r="F462">
        <f t="shared" si="36"/>
        <v>258.44145324021747</v>
      </c>
    </row>
    <row r="463" spans="2:6" x14ac:dyDescent="0.35">
      <c r="B463">
        <f t="shared" si="37"/>
        <v>160.59999999999863</v>
      </c>
      <c r="C463">
        <f t="shared" si="38"/>
        <v>-350.11999999999927</v>
      </c>
      <c r="D463">
        <f t="shared" si="39"/>
        <v>-132.24000000000112</v>
      </c>
      <c r="E463">
        <f t="shared" si="35"/>
        <v>595.57063996330794</v>
      </c>
      <c r="F463">
        <f t="shared" si="36"/>
        <v>185.92474512766938</v>
      </c>
    </row>
    <row r="464" spans="2:6" x14ac:dyDescent="0.35">
      <c r="B464">
        <f t="shared" si="37"/>
        <v>160.94999999999862</v>
      </c>
      <c r="C464">
        <f t="shared" si="38"/>
        <v>-350.88999999999925</v>
      </c>
      <c r="D464">
        <f t="shared" si="39"/>
        <v>-132.53000000000111</v>
      </c>
      <c r="E464">
        <f t="shared" si="35"/>
        <v>387.92562436206816</v>
      </c>
      <c r="F464">
        <f t="shared" si="36"/>
        <v>66.848151384625908</v>
      </c>
    </row>
    <row r="465" spans="2:6" x14ac:dyDescent="0.35">
      <c r="B465">
        <f t="shared" si="37"/>
        <v>161.29999999999862</v>
      </c>
      <c r="C465">
        <f t="shared" si="38"/>
        <v>-351.65999999999923</v>
      </c>
      <c r="D465">
        <f t="shared" si="39"/>
        <v>-132.8200000000011</v>
      </c>
      <c r="E465">
        <f t="shared" si="35"/>
        <v>150.51555229235061</v>
      </c>
      <c r="F465">
        <f t="shared" si="36"/>
        <v>-90.422620027711616</v>
      </c>
    </row>
    <row r="466" spans="2:6" x14ac:dyDescent="0.35">
      <c r="B466">
        <f t="shared" si="37"/>
        <v>161.64999999999861</v>
      </c>
      <c r="C466">
        <f t="shared" si="38"/>
        <v>-352.42999999999921</v>
      </c>
      <c r="D466">
        <f t="shared" si="39"/>
        <v>-133.11000000000109</v>
      </c>
      <c r="E466">
        <f t="shared" si="35"/>
        <v>-84.063877629043958</v>
      </c>
      <c r="F466">
        <f t="shared" si="36"/>
        <v>-268.65780275059808</v>
      </c>
    </row>
    <row r="467" spans="2:6" x14ac:dyDescent="0.35">
      <c r="B467">
        <f t="shared" si="37"/>
        <v>161.99999999999861</v>
      </c>
      <c r="C467">
        <f t="shared" si="38"/>
        <v>-353.19999999999919</v>
      </c>
      <c r="D467">
        <f t="shared" si="39"/>
        <v>-133.40000000000109</v>
      </c>
      <c r="E467">
        <f t="shared" si="35"/>
        <v>-286.14839290682841</v>
      </c>
      <c r="F467">
        <f t="shared" si="36"/>
        <v>-443.88618491563534</v>
      </c>
    </row>
    <row r="468" spans="2:6" x14ac:dyDescent="0.35">
      <c r="B468">
        <f t="shared" si="37"/>
        <v>162.3499999999986</v>
      </c>
      <c r="C468">
        <f t="shared" si="38"/>
        <v>-353.96999999999917</v>
      </c>
      <c r="D468">
        <f t="shared" si="39"/>
        <v>-133.69000000000108</v>
      </c>
      <c r="E468">
        <f t="shared" si="35"/>
        <v>-433.27385515377006</v>
      </c>
      <c r="F468">
        <f t="shared" si="36"/>
        <v>-588.95761492350096</v>
      </c>
    </row>
    <row r="469" spans="2:6" x14ac:dyDescent="0.35">
      <c r="B469">
        <f t="shared" si="37"/>
        <v>162.6999999999986</v>
      </c>
      <c r="C469">
        <f t="shared" si="38"/>
        <v>-354.73999999999916</v>
      </c>
      <c r="D469">
        <f t="shared" si="39"/>
        <v>-133.98000000000107</v>
      </c>
      <c r="E469">
        <f t="shared" si="35"/>
        <v>-513.05852305765552</v>
      </c>
      <c r="F469">
        <f t="shared" si="36"/>
        <v>-677.97863386046015</v>
      </c>
    </row>
    <row r="470" spans="2:6" x14ac:dyDescent="0.35">
      <c r="B470">
        <f t="shared" si="37"/>
        <v>163.04999999999859</v>
      </c>
      <c r="C470">
        <f t="shared" si="38"/>
        <v>-355.50999999999914</v>
      </c>
      <c r="D470">
        <f t="shared" si="39"/>
        <v>-134.27000000000106</v>
      </c>
      <c r="E470">
        <f t="shared" si="35"/>
        <v>-524.27749329047356</v>
      </c>
      <c r="F470">
        <f t="shared" si="36"/>
        <v>-690.87373751701489</v>
      </c>
    </row>
    <row r="471" spans="2:6" x14ac:dyDescent="0.35">
      <c r="B471">
        <f t="shared" si="37"/>
        <v>163.39999999999858</v>
      </c>
      <c r="C471">
        <f t="shared" si="38"/>
        <v>-356.27999999999912</v>
      </c>
      <c r="D471">
        <f t="shared" si="39"/>
        <v>-134.56000000000105</v>
      </c>
      <c r="E471">
        <f t="shared" si="35"/>
        <v>-476.02829654159672</v>
      </c>
      <c r="F471">
        <f t="shared" si="36"/>
        <v>-617.27216003112699</v>
      </c>
    </row>
    <row r="472" spans="2:6" x14ac:dyDescent="0.35">
      <c r="B472">
        <f t="shared" si="37"/>
        <v>163.74999999999858</v>
      </c>
      <c r="C472">
        <f t="shared" si="38"/>
        <v>-357.0499999999991</v>
      </c>
      <c r="D472">
        <f t="shared" si="39"/>
        <v>-134.85000000000105</v>
      </c>
      <c r="E472">
        <f t="shared" si="35"/>
        <v>-385.21813804268254</v>
      </c>
      <c r="F472">
        <f t="shared" si="36"/>
        <v>-459.00765950786342</v>
      </c>
    </row>
    <row r="473" spans="2:6" x14ac:dyDescent="0.35">
      <c r="B473">
        <f t="shared" si="37"/>
        <v>164.09999999999857</v>
      </c>
      <c r="C473">
        <f t="shared" si="38"/>
        <v>-357.81999999999908</v>
      </c>
      <c r="D473">
        <f t="shared" si="39"/>
        <v>-135.14000000000104</v>
      </c>
      <c r="E473">
        <f t="shared" si="35"/>
        <v>-272.8879822457269</v>
      </c>
      <c r="F473">
        <f t="shared" si="36"/>
        <v>-230.73408823448716</v>
      </c>
    </row>
    <row r="474" spans="2:6" x14ac:dyDescent="0.35">
      <c r="B474">
        <f t="shared" si="37"/>
        <v>164.44999999999857</v>
      </c>
      <c r="C474">
        <f t="shared" si="38"/>
        <v>-358.58999999999907</v>
      </c>
      <c r="D474">
        <f t="shared" si="39"/>
        <v>-135.43000000000103</v>
      </c>
      <c r="E474">
        <f t="shared" si="35"/>
        <v>-160.07725354503782</v>
      </c>
      <c r="F474">
        <f t="shared" si="36"/>
        <v>41.532608414247903</v>
      </c>
    </row>
    <row r="475" spans="2:6" x14ac:dyDescent="0.35">
      <c r="B475">
        <f t="shared" si="37"/>
        <v>164.79999999999856</v>
      </c>
      <c r="C475">
        <f t="shared" si="38"/>
        <v>-359.35999999999905</v>
      </c>
      <c r="D475">
        <f t="shared" si="39"/>
        <v>-135.72000000000102</v>
      </c>
      <c r="E475">
        <f t="shared" si="35"/>
        <v>-63.993283148712976</v>
      </c>
      <c r="F475">
        <f t="shared" si="36"/>
        <v>323.78682189265334</v>
      </c>
    </row>
    <row r="476" spans="2:6" x14ac:dyDescent="0.35">
      <c r="B476">
        <f t="shared" si="37"/>
        <v>165.14999999999856</v>
      </c>
      <c r="C476">
        <f t="shared" si="38"/>
        <v>-360.12999999999903</v>
      </c>
      <c r="D476">
        <f t="shared" si="39"/>
        <v>-136.01000000000101</v>
      </c>
      <c r="E476">
        <f t="shared" si="35"/>
        <v>4.8274481176315476</v>
      </c>
      <c r="F476">
        <f t="shared" si="36"/>
        <v>578.83164810694302</v>
      </c>
    </row>
    <row r="477" spans="2:6" x14ac:dyDescent="0.35">
      <c r="B477">
        <f t="shared" si="37"/>
        <v>165.49999999999855</v>
      </c>
      <c r="C477">
        <f t="shared" si="38"/>
        <v>-360.89999999999901</v>
      </c>
      <c r="D477">
        <f t="shared" si="39"/>
        <v>-136.30000000000101</v>
      </c>
      <c r="E477">
        <f t="shared" si="35"/>
        <v>43.878553483438793</v>
      </c>
      <c r="F477">
        <f t="shared" si="36"/>
        <v>771.76178871601905</v>
      </c>
    </row>
    <row r="478" spans="2:6" x14ac:dyDescent="0.35">
      <c r="B478">
        <f t="shared" si="37"/>
        <v>165.84999999999854</v>
      </c>
      <c r="C478">
        <f t="shared" si="38"/>
        <v>-361.66999999999899</v>
      </c>
      <c r="D478">
        <f t="shared" si="39"/>
        <v>-136.590000000001</v>
      </c>
      <c r="E478">
        <f t="shared" si="35"/>
        <v>58.360488975114592</v>
      </c>
      <c r="F478">
        <f t="shared" si="36"/>
        <v>875.25786948081645</v>
      </c>
    </row>
    <row r="479" spans="2:6" x14ac:dyDescent="0.35">
      <c r="B479">
        <f t="shared" si="37"/>
        <v>166.19999999999854</v>
      </c>
      <c r="C479">
        <f t="shared" si="38"/>
        <v>-362.43999999999897</v>
      </c>
      <c r="D479">
        <f t="shared" si="39"/>
        <v>-136.88000000000099</v>
      </c>
      <c r="E479">
        <f t="shared" si="35"/>
        <v>59.290036329342918</v>
      </c>
      <c r="F479">
        <f t="shared" si="36"/>
        <v>873.83287171839095</v>
      </c>
    </row>
    <row r="480" spans="2:6" x14ac:dyDescent="0.35">
      <c r="B480">
        <f t="shared" si="37"/>
        <v>166.54999999999853</v>
      </c>
      <c r="C480">
        <f t="shared" si="38"/>
        <v>-363.20999999999896</v>
      </c>
      <c r="D480">
        <f t="shared" si="39"/>
        <v>-137.17000000000098</v>
      </c>
      <c r="E480">
        <f t="shared" si="35"/>
        <v>60.451674862031695</v>
      </c>
      <c r="F480">
        <f t="shared" si="36"/>
        <v>766.33018076875044</v>
      </c>
    </row>
    <row r="481" spans="2:6" x14ac:dyDescent="0.35">
      <c r="B481">
        <f t="shared" si="37"/>
        <v>166.89999999999853</v>
      </c>
      <c r="C481">
        <f t="shared" si="38"/>
        <v>-363.97999999999894</v>
      </c>
      <c r="D481">
        <f t="shared" si="39"/>
        <v>-137.46000000000097</v>
      </c>
      <c r="E481">
        <f t="shared" si="35"/>
        <v>74.816343603785072</v>
      </c>
      <c r="F481">
        <f t="shared" si="36"/>
        <v>566.25105584629478</v>
      </c>
    </row>
    <row r="482" spans="2:6" x14ac:dyDescent="0.35">
      <c r="B482">
        <f t="shared" si="37"/>
        <v>167.24999999999852</v>
      </c>
      <c r="C482">
        <f t="shared" si="38"/>
        <v>-364.74999999999892</v>
      </c>
      <c r="D482">
        <f t="shared" si="39"/>
        <v>-137.75000000000097</v>
      </c>
      <c r="E482">
        <f t="shared" si="35"/>
        <v>111.15254990158621</v>
      </c>
      <c r="F482">
        <f t="shared" si="36"/>
        <v>299.8408720626586</v>
      </c>
    </row>
    <row r="483" spans="2:6" x14ac:dyDescent="0.35">
      <c r="B483">
        <f t="shared" si="37"/>
        <v>167.59999999999852</v>
      </c>
      <c r="C483">
        <f t="shared" si="38"/>
        <v>-365.5199999999989</v>
      </c>
      <c r="D483">
        <f t="shared" si="39"/>
        <v>-138.04000000000096</v>
      </c>
      <c r="E483">
        <f t="shared" si="35"/>
        <v>171.51906565683686</v>
      </c>
      <c r="F483">
        <f t="shared" si="36"/>
        <v>2.2291484108922219</v>
      </c>
    </row>
    <row r="484" spans="2:6" x14ac:dyDescent="0.35">
      <c r="B484">
        <f t="shared" si="37"/>
        <v>167.94999999999851</v>
      </c>
      <c r="C484">
        <f t="shared" si="38"/>
        <v>-366.28999999999888</v>
      </c>
      <c r="D484">
        <f t="shared" si="39"/>
        <v>-138.33000000000095</v>
      </c>
      <c r="E484">
        <f t="shared" si="35"/>
        <v>250.1636536576741</v>
      </c>
      <c r="F484">
        <f t="shared" si="36"/>
        <v>-287.76371408604348</v>
      </c>
    </row>
    <row r="485" spans="2:6" x14ac:dyDescent="0.35">
      <c r="B485">
        <f t="shared" si="37"/>
        <v>168.29999999999851</v>
      </c>
      <c r="C485">
        <f t="shared" si="38"/>
        <v>-367.05999999999887</v>
      </c>
      <c r="D485">
        <f t="shared" si="39"/>
        <v>-138.62000000000094</v>
      </c>
      <c r="E485">
        <f t="shared" si="35"/>
        <v>334.08783926271724</v>
      </c>
      <c r="F485">
        <f t="shared" si="36"/>
        <v>-533.32384367256043</v>
      </c>
    </row>
    <row r="486" spans="2:6" x14ac:dyDescent="0.35">
      <c r="B486">
        <f t="shared" si="37"/>
        <v>168.6499999999985</v>
      </c>
      <c r="C486">
        <f t="shared" si="38"/>
        <v>-367.82999999999885</v>
      </c>
      <c r="D486">
        <f t="shared" si="39"/>
        <v>-138.91000000000093</v>
      </c>
      <c r="E486">
        <f t="shared" si="35"/>
        <v>405.22134859236928</v>
      </c>
      <c r="F486">
        <f t="shared" si="36"/>
        <v>-704.93847507890769</v>
      </c>
    </row>
    <row r="487" spans="2:6" x14ac:dyDescent="0.35">
      <c r="B487">
        <f t="shared" si="37"/>
        <v>168.99999999999849</v>
      </c>
      <c r="C487">
        <f t="shared" si="38"/>
        <v>-368.59999999999883</v>
      </c>
      <c r="D487">
        <f t="shared" si="39"/>
        <v>-139.20000000000093</v>
      </c>
      <c r="E487">
        <f t="shared" si="35"/>
        <v>443.83890848973499</v>
      </c>
      <c r="F487">
        <f t="shared" si="36"/>
        <v>-784.4542834265892</v>
      </c>
    </row>
    <row r="488" spans="2:6" x14ac:dyDescent="0.35">
      <c r="B488">
        <f t="shared" si="37"/>
        <v>169.34999999999849</v>
      </c>
      <c r="C488">
        <f t="shared" si="38"/>
        <v>-369.36999999999881</v>
      </c>
      <c r="D488">
        <f t="shared" si="39"/>
        <v>-139.49000000000092</v>
      </c>
      <c r="E488">
        <f t="shared" si="35"/>
        <v>432.60363072679331</v>
      </c>
      <c r="F488">
        <f t="shared" si="36"/>
        <v>-767.27817921955773</v>
      </c>
    </row>
    <row r="489" spans="2:6" x14ac:dyDescent="0.35">
      <c r="B489">
        <f t="shared" si="37"/>
        <v>169.69999999999848</v>
      </c>
      <c r="C489">
        <f t="shared" si="38"/>
        <v>-370.13999999999879</v>
      </c>
      <c r="D489">
        <f t="shared" si="39"/>
        <v>-139.78000000000091</v>
      </c>
      <c r="E489">
        <f t="shared" si="35"/>
        <v>360.48150706450718</v>
      </c>
      <c r="F489">
        <f t="shared" si="36"/>
        <v>-662.4133273495712</v>
      </c>
    </row>
    <row r="490" spans="2:6" x14ac:dyDescent="0.35">
      <c r="B490">
        <f t="shared" si="37"/>
        <v>170.04999999999848</v>
      </c>
      <c r="C490">
        <f t="shared" si="38"/>
        <v>-370.90999999999877</v>
      </c>
      <c r="D490">
        <f t="shared" si="39"/>
        <v>-140.0700000000009</v>
      </c>
      <c r="E490">
        <f t="shared" si="35"/>
        <v>225.76789852272702</v>
      </c>
      <c r="F490">
        <f t="shared" si="36"/>
        <v>-490.38517241838821</v>
      </c>
    </row>
    <row r="491" spans="2:6" x14ac:dyDescent="0.35">
      <c r="B491">
        <f t="shared" si="37"/>
        <v>170.39999999999847</v>
      </c>
      <c r="C491">
        <f t="shared" si="38"/>
        <v>-371.67999999999876</v>
      </c>
      <c r="D491">
        <f t="shared" si="39"/>
        <v>-140.36000000000089</v>
      </c>
      <c r="E491">
        <f t="shared" si="35"/>
        <v>37.602474691905286</v>
      </c>
      <c r="F491">
        <f t="shared" si="36"/>
        <v>-279.46021205196297</v>
      </c>
    </row>
    <row r="492" spans="2:6" x14ac:dyDescent="0.35">
      <c r="B492">
        <f t="shared" si="37"/>
        <v>170.74999999999847</v>
      </c>
      <c r="C492">
        <f t="shared" si="38"/>
        <v>-372.44999999999874</v>
      </c>
      <c r="D492">
        <f t="shared" si="39"/>
        <v>-140.65000000000089</v>
      </c>
      <c r="E492">
        <f t="shared" si="35"/>
        <v>-184.39792412741892</v>
      </c>
      <c r="F492">
        <f t="shared" si="36"/>
        <v>-60.83485413222337</v>
      </c>
    </row>
    <row r="493" spans="2:6" x14ac:dyDescent="0.35">
      <c r="B493">
        <f t="shared" si="37"/>
        <v>171.09999999999846</v>
      </c>
      <c r="C493">
        <f t="shared" si="38"/>
        <v>-373.21999999999872</v>
      </c>
      <c r="D493">
        <f t="shared" si="39"/>
        <v>-140.94000000000088</v>
      </c>
      <c r="E493">
        <f t="shared" si="35"/>
        <v>-412.4316762981797</v>
      </c>
      <c r="F493">
        <f t="shared" si="36"/>
        <v>136.37338899846927</v>
      </c>
    </row>
    <row r="494" spans="2:6" x14ac:dyDescent="0.35">
      <c r="B494">
        <f t="shared" si="37"/>
        <v>171.44999999999845</v>
      </c>
      <c r="C494">
        <f t="shared" si="38"/>
        <v>-373.9899999999987</v>
      </c>
      <c r="D494">
        <f t="shared" si="39"/>
        <v>-141.23000000000087</v>
      </c>
      <c r="E494">
        <f t="shared" si="35"/>
        <v>-614.42853848589334</v>
      </c>
      <c r="F494">
        <f t="shared" si="36"/>
        <v>289.4901883931476</v>
      </c>
    </row>
    <row r="495" spans="2:6" x14ac:dyDescent="0.35">
      <c r="B495">
        <f t="shared" si="37"/>
        <v>171.79999999999845</v>
      </c>
      <c r="C495">
        <f t="shared" si="38"/>
        <v>-374.75999999999868</v>
      </c>
      <c r="D495">
        <f t="shared" si="39"/>
        <v>-141.52000000000086</v>
      </c>
      <c r="E495">
        <f t="shared" si="35"/>
        <v>-758.98714612763661</v>
      </c>
      <c r="F495">
        <f t="shared" si="36"/>
        <v>385.29702610365285</v>
      </c>
    </row>
    <row r="496" spans="2:6" x14ac:dyDescent="0.35">
      <c r="B496">
        <f t="shared" si="37"/>
        <v>172.14999999999844</v>
      </c>
      <c r="C496">
        <f t="shared" si="38"/>
        <v>-375.52999999999867</v>
      </c>
      <c r="D496">
        <f t="shared" si="39"/>
        <v>-141.81000000000085</v>
      </c>
      <c r="E496">
        <f t="shared" si="35"/>
        <v>-820.52842502836052</v>
      </c>
      <c r="F496">
        <f t="shared" si="36"/>
        <v>421.2397655351341</v>
      </c>
    </row>
    <row r="497" spans="2:6" x14ac:dyDescent="0.35">
      <c r="B497">
        <f t="shared" si="37"/>
        <v>172.49999999999844</v>
      </c>
      <c r="C497">
        <f t="shared" si="38"/>
        <v>-376.29999999999865</v>
      </c>
      <c r="D497">
        <f t="shared" si="39"/>
        <v>-142.10000000000085</v>
      </c>
      <c r="E497">
        <f t="shared" si="35"/>
        <v>-783.79224641904341</v>
      </c>
      <c r="F497">
        <f t="shared" si="36"/>
        <v>404.70923678245691</v>
      </c>
    </row>
    <row r="498" spans="2:6" x14ac:dyDescent="0.35">
      <c r="B498">
        <f t="shared" si="37"/>
        <v>172.84999999999843</v>
      </c>
      <c r="C498">
        <f t="shared" si="38"/>
        <v>-377.06999999999863</v>
      </c>
      <c r="D498">
        <f t="shared" si="39"/>
        <v>-142.39000000000084</v>
      </c>
      <c r="E498">
        <f t="shared" si="35"/>
        <v>-646.88771346296994</v>
      </c>
      <c r="F498">
        <f t="shared" si="36"/>
        <v>350.61353772464906</v>
      </c>
    </row>
    <row r="499" spans="2:6" x14ac:dyDescent="0.35">
      <c r="B499">
        <f t="shared" si="37"/>
        <v>173.19999999999843</v>
      </c>
      <c r="C499">
        <f t="shared" si="38"/>
        <v>-377.83999999999861</v>
      </c>
      <c r="D499">
        <f t="shared" si="39"/>
        <v>-142.68000000000083</v>
      </c>
      <c r="E499">
        <f t="shared" si="35"/>
        <v>-422.32923598244963</v>
      </c>
      <c r="F499">
        <f t="shared" si="36"/>
        <v>277.75973237837718</v>
      </c>
    </row>
    <row r="500" spans="2:6" x14ac:dyDescent="0.35">
      <c r="B500">
        <f t="shared" si="37"/>
        <v>173.54999999999842</v>
      </c>
      <c r="C500">
        <f t="shared" si="38"/>
        <v>-378.60999999999859</v>
      </c>
      <c r="D500">
        <f t="shared" si="39"/>
        <v>-142.97000000000082</v>
      </c>
      <c r="E500">
        <f t="shared" si="35"/>
        <v>-135.81506792966604</v>
      </c>
      <c r="F500">
        <f t="shared" si="36"/>
        <v>204.76263214383323</v>
      </c>
    </row>
    <row r="501" spans="2:6" x14ac:dyDescent="0.35">
      <c r="B501">
        <f t="shared" si="37"/>
        <v>173.89999999999841</v>
      </c>
      <c r="C501">
        <f t="shared" si="38"/>
        <v>-379.37999999999857</v>
      </c>
      <c r="D501">
        <f t="shared" si="39"/>
        <v>-143.26000000000082</v>
      </c>
      <c r="E501">
        <f t="shared" si="35"/>
        <v>177.1220824165614</v>
      </c>
      <c r="F501">
        <f t="shared" si="36"/>
        <v>146.2657385245181</v>
      </c>
    </row>
    <row r="502" spans="2:6" x14ac:dyDescent="0.35">
      <c r="B502">
        <f t="shared" si="37"/>
        <v>174.24999999999841</v>
      </c>
      <c r="C502">
        <f t="shared" si="38"/>
        <v>-380.14999999999856</v>
      </c>
      <c r="D502">
        <f t="shared" si="39"/>
        <v>-143.55000000000081</v>
      </c>
      <c r="E502">
        <f t="shared" si="35"/>
        <v>476.10482253379848</v>
      </c>
      <c r="F502">
        <f t="shared" si="36"/>
        <v>110.1833530671156</v>
      </c>
    </row>
    <row r="503" spans="2:6" x14ac:dyDescent="0.35">
      <c r="B503">
        <f t="shared" si="37"/>
        <v>174.5999999999984</v>
      </c>
      <c r="C503">
        <f t="shared" si="38"/>
        <v>-380.91999999999854</v>
      </c>
      <c r="D503">
        <f t="shared" si="39"/>
        <v>-143.8400000000008</v>
      </c>
      <c r="E503">
        <f t="shared" si="35"/>
        <v>721.77229573974728</v>
      </c>
      <c r="F503">
        <f t="shared" si="36"/>
        <v>96.468126257263037</v>
      </c>
    </row>
    <row r="504" spans="2:6" x14ac:dyDescent="0.35">
      <c r="B504">
        <f t="shared" si="37"/>
        <v>174.9499999999984</v>
      </c>
      <c r="C504">
        <f t="shared" si="38"/>
        <v>-381.68999999999852</v>
      </c>
      <c r="D504">
        <f t="shared" si="39"/>
        <v>-144.13000000000079</v>
      </c>
      <c r="E504">
        <f t="shared" si="35"/>
        <v>881.58807990493301</v>
      </c>
      <c r="F504">
        <f t="shared" si="36"/>
        <v>97.612721218622568</v>
      </c>
    </row>
    <row r="505" spans="2:6" x14ac:dyDescent="0.35">
      <c r="B505">
        <f t="shared" si="37"/>
        <v>175.29999999999839</v>
      </c>
      <c r="C505">
        <f t="shared" si="38"/>
        <v>-382.4599999999985</v>
      </c>
      <c r="D505">
        <f t="shared" si="39"/>
        <v>-144.42000000000078</v>
      </c>
      <c r="E505">
        <f t="shared" si="35"/>
        <v>934.6675225340307</v>
      </c>
      <c r="F505">
        <f t="shared" si="36"/>
        <v>100.7618596452788</v>
      </c>
    </row>
    <row r="506" spans="2:6" x14ac:dyDescent="0.35">
      <c r="B506">
        <f t="shared" si="37"/>
        <v>175.64999999999839</v>
      </c>
      <c r="C506">
        <f t="shared" si="38"/>
        <v>-383.22999999999848</v>
      </c>
      <c r="D506">
        <f t="shared" si="39"/>
        <v>-144.71000000000078</v>
      </c>
      <c r="E506">
        <f t="shared" si="35"/>
        <v>874.84986871091837</v>
      </c>
      <c r="F506">
        <f t="shared" si="36"/>
        <v>91.002456227321801</v>
      </c>
    </row>
    <row r="507" spans="2:6" x14ac:dyDescent="0.35">
      <c r="B507">
        <f t="shared" si="37"/>
        <v>175.99999999999838</v>
      </c>
      <c r="C507">
        <f t="shared" si="38"/>
        <v>-383.99999999999847</v>
      </c>
      <c r="D507">
        <f t="shared" si="39"/>
        <v>-145.00000000000077</v>
      </c>
      <c r="E507">
        <f t="shared" si="35"/>
        <v>711.52332204456161</v>
      </c>
      <c r="F507">
        <f t="shared" si="36"/>
        <v>55.1712692641525</v>
      </c>
    </row>
    <row r="508" spans="2:6" x14ac:dyDescent="0.35">
      <c r="B508">
        <f t="shared" si="37"/>
        <v>176.34999999999837</v>
      </c>
      <c r="C508">
        <f t="shared" si="38"/>
        <v>-384.76999999999845</v>
      </c>
      <c r="D508">
        <f t="shared" si="39"/>
        <v>-145.29000000000076</v>
      </c>
      <c r="E508">
        <f t="shared" si="35"/>
        <v>468.07683761214616</v>
      </c>
      <c r="F508">
        <f t="shared" si="36"/>
        <v>-14.586403533787518</v>
      </c>
    </row>
    <row r="509" spans="2:6" x14ac:dyDescent="0.35">
      <c r="B509">
        <f t="shared" si="37"/>
        <v>176.69999999999837</v>
      </c>
      <c r="C509">
        <f t="shared" si="38"/>
        <v>-385.53999999999843</v>
      </c>
      <c r="D509">
        <f t="shared" si="39"/>
        <v>-145.58000000000075</v>
      </c>
      <c r="E509">
        <f t="shared" si="35"/>
        <v>178.23931588492007</v>
      </c>
      <c r="F509">
        <f t="shared" si="36"/>
        <v>-118.2368116855759</v>
      </c>
    </row>
    <row r="510" spans="2:6" x14ac:dyDescent="0.35">
      <c r="B510">
        <f t="shared" si="37"/>
        <v>177.04999999999836</v>
      </c>
      <c r="C510">
        <f t="shared" si="38"/>
        <v>-386.30999999999841</v>
      </c>
      <c r="D510">
        <f t="shared" si="39"/>
        <v>-145.87000000000074</v>
      </c>
      <c r="E510">
        <f t="shared" si="35"/>
        <v>-119.09047906721364</v>
      </c>
      <c r="F510">
        <f t="shared" si="36"/>
        <v>-246.8127590440962</v>
      </c>
    </row>
    <row r="511" spans="2:6" x14ac:dyDescent="0.35">
      <c r="B511">
        <f t="shared" si="37"/>
        <v>177.39999999999836</v>
      </c>
      <c r="C511">
        <f t="shared" si="38"/>
        <v>-387.07999999999839</v>
      </c>
      <c r="D511">
        <f t="shared" si="39"/>
        <v>-146.16000000000074</v>
      </c>
      <c r="E511">
        <f t="shared" si="35"/>
        <v>-385.67942766334301</v>
      </c>
      <c r="F511">
        <f t="shared" si="36"/>
        <v>-383.17925849154904</v>
      </c>
    </row>
    <row r="512" spans="2:6" x14ac:dyDescent="0.35">
      <c r="B512">
        <f t="shared" si="37"/>
        <v>177.74999999999835</v>
      </c>
      <c r="C512">
        <f t="shared" si="38"/>
        <v>-387.84999999999837</v>
      </c>
      <c r="D512">
        <f t="shared" si="39"/>
        <v>-146.45000000000073</v>
      </c>
      <c r="E512">
        <f t="shared" si="35"/>
        <v>-589.51913972322575</v>
      </c>
      <c r="F512">
        <f t="shared" si="36"/>
        <v>-504.54832688520054</v>
      </c>
    </row>
    <row r="513" spans="2:6" x14ac:dyDescent="0.35">
      <c r="B513">
        <f t="shared" si="37"/>
        <v>178.09999999999835</v>
      </c>
      <c r="C513">
        <f t="shared" si="38"/>
        <v>-388.61999999999836</v>
      </c>
      <c r="D513">
        <f t="shared" si="39"/>
        <v>-146.74000000000072</v>
      </c>
      <c r="E513">
        <f t="shared" si="35"/>
        <v>-709.2271979483711</v>
      </c>
      <c r="F513">
        <f t="shared" si="36"/>
        <v>-586.34804954247932</v>
      </c>
    </row>
    <row r="514" spans="2:6" x14ac:dyDescent="0.35">
      <c r="B514">
        <f t="shared" si="37"/>
        <v>178.44999999999834</v>
      </c>
      <c r="C514">
        <f t="shared" si="38"/>
        <v>-389.38999999999834</v>
      </c>
      <c r="D514">
        <f t="shared" si="39"/>
        <v>-147.03000000000071</v>
      </c>
      <c r="E514">
        <f t="shared" si="35"/>
        <v>-736.61668298079053</v>
      </c>
      <c r="F514">
        <f t="shared" si="36"/>
        <v>-606.7822829047559</v>
      </c>
    </row>
    <row r="515" spans="2:6" x14ac:dyDescent="0.35">
      <c r="B515">
        <f t="shared" si="37"/>
        <v>178.79999999999833</v>
      </c>
      <c r="C515">
        <f t="shared" si="38"/>
        <v>-390.15999999999832</v>
      </c>
      <c r="D515">
        <f t="shared" si="39"/>
        <v>-147.3200000000007</v>
      </c>
      <c r="E515">
        <f t="shared" si="35"/>
        <v>-677.07820165704334</v>
      </c>
      <c r="F515">
        <f t="shared" si="36"/>
        <v>-551.26312487922382</v>
      </c>
    </row>
    <row r="516" spans="2:6" x14ac:dyDescent="0.35">
      <c r="B516">
        <f t="shared" si="37"/>
        <v>179.14999999999833</v>
      </c>
      <c r="C516">
        <f t="shared" si="38"/>
        <v>-390.9299999999983</v>
      </c>
      <c r="D516">
        <f t="shared" si="39"/>
        <v>-147.6100000000007</v>
      </c>
      <c r="E516">
        <f t="shared" si="35"/>
        <v>-547.79189370013682</v>
      </c>
      <c r="F516">
        <f t="shared" si="36"/>
        <v>-415.88865232911161</v>
      </c>
    </row>
    <row r="517" spans="2:6" x14ac:dyDescent="0.35">
      <c r="B517">
        <f t="shared" si="37"/>
        <v>179.49999999999832</v>
      </c>
      <c r="C517">
        <f t="shared" si="38"/>
        <v>-391.69999999999828</v>
      </c>
      <c r="D517">
        <f t="shared" si="39"/>
        <v>-147.90000000000069</v>
      </c>
      <c r="E517">
        <f t="shared" si="35"/>
        <v>-374.15070834344351</v>
      </c>
      <c r="F517">
        <f t="shared" si="36"/>
        <v>-209.27808291537758</v>
      </c>
    </row>
    <row r="518" spans="2:6" x14ac:dyDescent="0.35">
      <c r="B518">
        <f t="shared" si="37"/>
        <v>179.84999999999832</v>
      </c>
      <c r="C518">
        <f t="shared" si="38"/>
        <v>-392.46999999999827</v>
      </c>
      <c r="D518">
        <f t="shared" si="39"/>
        <v>-148.19000000000068</v>
      </c>
      <c r="E518">
        <f t="shared" si="35"/>
        <v>-185.06809132557095</v>
      </c>
      <c r="F518">
        <f t="shared" si="36"/>
        <v>47.656391838085767</v>
      </c>
    </row>
    <row r="519" spans="2:6" x14ac:dyDescent="0.35">
      <c r="B519">
        <f t="shared" si="37"/>
        <v>180.19999999999831</v>
      </c>
      <c r="C519">
        <f t="shared" si="38"/>
        <v>-393.23999999999825</v>
      </c>
      <c r="D519">
        <f t="shared" si="39"/>
        <v>-148.48000000000067</v>
      </c>
      <c r="E519">
        <f t="shared" ref="E519:E582" si="40">(B519-C519)*COS(D519)+C519*COS((B519/C519-1)*D519)</f>
        <v>-8.0135159598181076</v>
      </c>
      <c r="F519">
        <f t="shared" ref="F519:F582" si="41">(B519-C519)*SIN(D519)+C519*SIN((B519/C519-1)*D519)</f>
        <v>324.0721649062973</v>
      </c>
    </row>
    <row r="520" spans="2:6" x14ac:dyDescent="0.35">
      <c r="B520">
        <f t="shared" ref="B520:B583" si="42">B519+$B$2</f>
        <v>180.54999999999831</v>
      </c>
      <c r="C520">
        <f t="shared" ref="C520:C583" si="43">C519+$B$3</f>
        <v>-394.00999999999823</v>
      </c>
      <c r="D520">
        <f t="shared" ref="D520:D583" si="44">D519+$B$4</f>
        <v>-148.77000000000066</v>
      </c>
      <c r="E520">
        <f t="shared" si="40"/>
        <v>135.36001537704175</v>
      </c>
      <c r="F520">
        <f t="shared" si="41"/>
        <v>583.39208956766674</v>
      </c>
    </row>
    <row r="521" spans="2:6" x14ac:dyDescent="0.35">
      <c r="B521">
        <f t="shared" si="42"/>
        <v>180.8999999999983</v>
      </c>
      <c r="C521">
        <f t="shared" si="43"/>
        <v>-394.77999999999821</v>
      </c>
      <c r="D521">
        <f t="shared" si="44"/>
        <v>-149.06000000000066</v>
      </c>
      <c r="E521">
        <f t="shared" si="40"/>
        <v>232.26296509466081</v>
      </c>
      <c r="F521">
        <f t="shared" si="41"/>
        <v>788.70306675403378</v>
      </c>
    </row>
    <row r="522" spans="2:6" x14ac:dyDescent="0.35">
      <c r="B522">
        <f t="shared" si="42"/>
        <v>181.24999999999829</v>
      </c>
      <c r="C522">
        <f t="shared" si="43"/>
        <v>-395.54999999999819</v>
      </c>
      <c r="D522">
        <f t="shared" si="44"/>
        <v>-149.35000000000065</v>
      </c>
      <c r="E522">
        <f t="shared" si="40"/>
        <v>280.01422782701462</v>
      </c>
      <c r="F522">
        <f t="shared" si="41"/>
        <v>908.49836960032394</v>
      </c>
    </row>
    <row r="523" spans="2:6" x14ac:dyDescent="0.35">
      <c r="B523">
        <f t="shared" si="42"/>
        <v>181.59999999999829</v>
      </c>
      <c r="C523">
        <f t="shared" si="43"/>
        <v>-396.31999999999817</v>
      </c>
      <c r="D523">
        <f t="shared" si="44"/>
        <v>-149.64000000000064</v>
      </c>
      <c r="E523">
        <f t="shared" si="40"/>
        <v>285.34404534320953</v>
      </c>
      <c r="F523">
        <f t="shared" si="41"/>
        <v>921.81923847321173</v>
      </c>
    </row>
    <row r="524" spans="2:6" x14ac:dyDescent="0.35">
      <c r="B524">
        <f t="shared" si="42"/>
        <v>181.94999999999828</v>
      </c>
      <c r="C524">
        <f t="shared" si="43"/>
        <v>-397.08999999999816</v>
      </c>
      <c r="D524">
        <f t="shared" si="44"/>
        <v>-149.93000000000063</v>
      </c>
      <c r="E524">
        <f t="shared" si="40"/>
        <v>261.97016439747142</v>
      </c>
      <c r="F524">
        <f t="shared" si="41"/>
        <v>821.92603698157029</v>
      </c>
    </row>
    <row r="525" spans="2:6" x14ac:dyDescent="0.35">
      <c r="B525">
        <f t="shared" si="42"/>
        <v>182.29999999999828</v>
      </c>
      <c r="C525">
        <f t="shared" si="43"/>
        <v>-397.85999999999814</v>
      </c>
      <c r="D525">
        <f t="shared" si="44"/>
        <v>-150.22000000000062</v>
      </c>
      <c r="E525">
        <f t="shared" si="40"/>
        <v>226.97306475949358</v>
      </c>
      <c r="F525">
        <f t="shared" si="41"/>
        <v>617.85400474290498</v>
      </c>
    </row>
    <row r="526" spans="2:6" x14ac:dyDescent="0.35">
      <c r="B526">
        <f t="shared" si="42"/>
        <v>182.64999999999827</v>
      </c>
      <c r="C526">
        <f t="shared" si="43"/>
        <v>-398.62999999999812</v>
      </c>
      <c r="D526">
        <f t="shared" si="44"/>
        <v>-150.51000000000062</v>
      </c>
      <c r="E526">
        <f t="shared" si="40"/>
        <v>196.70652718920189</v>
      </c>
      <c r="F526">
        <f t="shared" si="41"/>
        <v>333.54698818020523</v>
      </c>
    </row>
    <row r="527" spans="2:6" x14ac:dyDescent="0.35">
      <c r="B527">
        <f t="shared" si="42"/>
        <v>182.99999999999827</v>
      </c>
      <c r="C527">
        <f t="shared" si="43"/>
        <v>-399.3999999999981</v>
      </c>
      <c r="D527">
        <f t="shared" si="44"/>
        <v>-150.80000000000061</v>
      </c>
      <c r="E527">
        <f t="shared" si="40"/>
        <v>183.05298090869286</v>
      </c>
      <c r="F527">
        <f t="shared" si="41"/>
        <v>4.6580449439324054</v>
      </c>
    </row>
    <row r="528" spans="2:6" x14ac:dyDescent="0.35">
      <c r="B528">
        <f t="shared" si="42"/>
        <v>183.34999999999826</v>
      </c>
      <c r="C528">
        <f t="shared" si="43"/>
        <v>-400.16999999999808</v>
      </c>
      <c r="D528">
        <f t="shared" si="44"/>
        <v>-151.0900000000006</v>
      </c>
      <c r="E528">
        <f t="shared" si="40"/>
        <v>190.75649179866286</v>
      </c>
      <c r="F528">
        <f t="shared" si="41"/>
        <v>-326.50835145536382</v>
      </c>
    </row>
    <row r="529" spans="2:6" x14ac:dyDescent="0.35">
      <c r="B529">
        <f t="shared" si="42"/>
        <v>183.69999999999825</v>
      </c>
      <c r="C529">
        <f t="shared" si="43"/>
        <v>-400.93999999999807</v>
      </c>
      <c r="D529">
        <f t="shared" si="44"/>
        <v>-151.38000000000059</v>
      </c>
      <c r="E529">
        <f t="shared" si="40"/>
        <v>216.35437326644762</v>
      </c>
      <c r="F529">
        <f t="shared" si="41"/>
        <v>-617.12740172146891</v>
      </c>
    </row>
    <row r="530" spans="2:6" x14ac:dyDescent="0.35">
      <c r="B530">
        <f t="shared" si="42"/>
        <v>184.04999999999825</v>
      </c>
      <c r="C530">
        <f t="shared" si="43"/>
        <v>-401.70999999999805</v>
      </c>
      <c r="D530">
        <f t="shared" si="44"/>
        <v>-151.67000000000058</v>
      </c>
      <c r="E530">
        <f t="shared" si="40"/>
        <v>248.9200277195304</v>
      </c>
      <c r="F530">
        <f t="shared" si="41"/>
        <v>-830.09163334119148</v>
      </c>
    </row>
    <row r="531" spans="2:6" x14ac:dyDescent="0.35">
      <c r="B531">
        <f t="shared" si="42"/>
        <v>184.39999999999824</v>
      </c>
      <c r="C531">
        <f t="shared" si="43"/>
        <v>-402.47999999999803</v>
      </c>
      <c r="D531">
        <f t="shared" si="44"/>
        <v>-151.96000000000058</v>
      </c>
      <c r="E531">
        <f t="shared" si="40"/>
        <v>272.48102432847986</v>
      </c>
      <c r="F531">
        <f t="shared" si="41"/>
        <v>-939.36705228560413</v>
      </c>
    </row>
    <row r="532" spans="2:6" x14ac:dyDescent="0.35">
      <c r="B532">
        <f t="shared" si="42"/>
        <v>184.74999999999824</v>
      </c>
      <c r="C532">
        <f t="shared" si="43"/>
        <v>-403.24999999999801</v>
      </c>
      <c r="D532">
        <f t="shared" si="44"/>
        <v>-152.25000000000057</v>
      </c>
      <c r="E532">
        <f t="shared" si="40"/>
        <v>269.65129094257844</v>
      </c>
      <c r="F532">
        <f t="shared" si="41"/>
        <v>-933.62293366527615</v>
      </c>
    </row>
    <row r="533" spans="2:6" x14ac:dyDescent="0.35">
      <c r="B533">
        <f t="shared" si="42"/>
        <v>185.09999999999823</v>
      </c>
      <c r="C533">
        <f t="shared" si="43"/>
        <v>-404.01999999999799</v>
      </c>
      <c r="D533">
        <f t="shared" si="44"/>
        <v>-152.54000000000056</v>
      </c>
      <c r="E533">
        <f t="shared" si="40"/>
        <v>225.77440057930113</v>
      </c>
      <c r="F533">
        <f t="shared" si="41"/>
        <v>-817.57422428619282</v>
      </c>
    </row>
    <row r="534" spans="2:6" x14ac:dyDescent="0.35">
      <c r="B534">
        <f t="shared" si="42"/>
        <v>185.44999999999823</v>
      </c>
      <c r="C534">
        <f t="shared" si="43"/>
        <v>-404.78999999999797</v>
      </c>
      <c r="D534">
        <f t="shared" si="44"/>
        <v>-152.83000000000055</v>
      </c>
      <c r="E534">
        <f t="shared" si="40"/>
        <v>132.761346724931</v>
      </c>
      <c r="F534">
        <f t="shared" si="41"/>
        <v>-610.85198884939985</v>
      </c>
    </row>
    <row r="535" spans="2:6" x14ac:dyDescent="0.35">
      <c r="B535">
        <f t="shared" si="42"/>
        <v>185.79999999999822</v>
      </c>
      <c r="C535">
        <f t="shared" si="43"/>
        <v>-405.55999999999796</v>
      </c>
      <c r="D535">
        <f t="shared" si="44"/>
        <v>-153.12000000000054</v>
      </c>
      <c r="E535">
        <f t="shared" si="40"/>
        <v>-8.1568355535824821</v>
      </c>
      <c r="F535">
        <f t="shared" si="41"/>
        <v>-344.62254621423358</v>
      </c>
    </row>
    <row r="536" spans="2:6" x14ac:dyDescent="0.35">
      <c r="B536">
        <f t="shared" si="42"/>
        <v>186.14999999999822</v>
      </c>
      <c r="C536">
        <f t="shared" si="43"/>
        <v>-406.32999999999794</v>
      </c>
      <c r="D536">
        <f t="shared" si="44"/>
        <v>-153.41000000000054</v>
      </c>
      <c r="E536">
        <f t="shared" si="40"/>
        <v>-185.35848612033072</v>
      </c>
      <c r="F536">
        <f t="shared" si="41"/>
        <v>-56.541181147017426</v>
      </c>
    </row>
    <row r="537" spans="2:6" x14ac:dyDescent="0.35">
      <c r="B537">
        <f t="shared" si="42"/>
        <v>186.49999999999821</v>
      </c>
      <c r="C537">
        <f t="shared" si="43"/>
        <v>-407.09999999999792</v>
      </c>
      <c r="D537">
        <f t="shared" si="44"/>
        <v>-153.70000000000053</v>
      </c>
      <c r="E537">
        <f t="shared" si="40"/>
        <v>-377.74221117618038</v>
      </c>
      <c r="F537">
        <f t="shared" si="41"/>
        <v>215.11014989802723</v>
      </c>
    </row>
    <row r="538" spans="2:6" x14ac:dyDescent="0.35">
      <c r="B538">
        <f t="shared" si="42"/>
        <v>186.8499999999982</v>
      </c>
      <c r="C538">
        <f t="shared" si="43"/>
        <v>-407.8699999999979</v>
      </c>
      <c r="D538">
        <f t="shared" si="44"/>
        <v>-153.99000000000052</v>
      </c>
      <c r="E538">
        <f t="shared" si="40"/>
        <v>-557.55869632400743</v>
      </c>
      <c r="F538">
        <f t="shared" si="41"/>
        <v>437.13394472465819</v>
      </c>
    </row>
    <row r="539" spans="2:6" x14ac:dyDescent="0.35">
      <c r="B539">
        <f t="shared" si="42"/>
        <v>187.1999999999982</v>
      </c>
      <c r="C539">
        <f t="shared" si="43"/>
        <v>-408.63999999999788</v>
      </c>
      <c r="D539">
        <f t="shared" si="44"/>
        <v>-154.28000000000051</v>
      </c>
      <c r="E539">
        <f t="shared" si="40"/>
        <v>-694.74442175124273</v>
      </c>
      <c r="F539">
        <f t="shared" si="41"/>
        <v>586.0567813711134</v>
      </c>
    </row>
    <row r="540" spans="2:6" x14ac:dyDescent="0.35">
      <c r="B540">
        <f t="shared" si="42"/>
        <v>187.54999999999819</v>
      </c>
      <c r="C540">
        <f t="shared" si="43"/>
        <v>-409.40999999999786</v>
      </c>
      <c r="D540">
        <f t="shared" si="44"/>
        <v>-154.5700000000005</v>
      </c>
      <c r="E540">
        <f t="shared" si="40"/>
        <v>-762.04601465831843</v>
      </c>
      <c r="F540">
        <f t="shared" si="41"/>
        <v>650.97892382161342</v>
      </c>
    </row>
    <row r="541" spans="2:6" x14ac:dyDescent="0.35">
      <c r="B541">
        <f t="shared" si="42"/>
        <v>187.89999999999819</v>
      </c>
      <c r="C541">
        <f t="shared" si="43"/>
        <v>-410.17999999999785</v>
      </c>
      <c r="D541">
        <f t="shared" si="44"/>
        <v>-154.8600000000005</v>
      </c>
      <c r="E541">
        <f t="shared" si="40"/>
        <v>-740.05176841109517</v>
      </c>
      <c r="F541">
        <f t="shared" si="41"/>
        <v>634.23584287325093</v>
      </c>
    </row>
    <row r="542" spans="2:6" x14ac:dyDescent="0.35">
      <c r="B542">
        <f t="shared" si="42"/>
        <v>188.24999999999818</v>
      </c>
      <c r="C542">
        <f t="shared" si="43"/>
        <v>-410.94999999999783</v>
      </c>
      <c r="D542">
        <f t="shared" si="44"/>
        <v>-155.15000000000049</v>
      </c>
      <c r="E542">
        <f t="shared" si="40"/>
        <v>-621.22795070953418</v>
      </c>
      <c r="F542">
        <f t="shared" si="41"/>
        <v>549.85607335601742</v>
      </c>
    </row>
    <row r="543" spans="2:6" x14ac:dyDescent="0.35">
      <c r="B543">
        <f t="shared" si="42"/>
        <v>188.59999999999818</v>
      </c>
      <c r="C543">
        <f t="shared" si="43"/>
        <v>-411.71999999999781</v>
      </c>
      <c r="D543">
        <f t="shared" si="44"/>
        <v>-155.44000000000048</v>
      </c>
      <c r="E543">
        <f t="shared" si="40"/>
        <v>-412.19847934260076</v>
      </c>
      <c r="F543">
        <f t="shared" si="41"/>
        <v>420.17737807322362</v>
      </c>
    </row>
    <row r="544" spans="2:6" x14ac:dyDescent="0.35">
      <c r="B544">
        <f t="shared" si="42"/>
        <v>188.94999999999817</v>
      </c>
      <c r="C544">
        <f t="shared" si="43"/>
        <v>-412.48999999999779</v>
      </c>
      <c r="D544">
        <f t="shared" si="44"/>
        <v>-155.73000000000047</v>
      </c>
      <c r="E544">
        <f t="shared" si="40"/>
        <v>-133.78575812692341</v>
      </c>
      <c r="F544">
        <f t="shared" si="41"/>
        <v>271.29021281322474</v>
      </c>
    </row>
    <row r="545" spans="2:6" x14ac:dyDescent="0.35">
      <c r="B545">
        <f t="shared" si="42"/>
        <v>189.29999999999816</v>
      </c>
      <c r="C545">
        <f t="shared" si="43"/>
        <v>-413.25999999999777</v>
      </c>
      <c r="D545">
        <f t="shared" si="44"/>
        <v>-156.02000000000046</v>
      </c>
      <c r="E545">
        <f t="shared" si="40"/>
        <v>181.2983633418458</v>
      </c>
      <c r="F545">
        <f t="shared" si="41"/>
        <v>128.16124375735296</v>
      </c>
    </row>
    <row r="546" spans="2:6" x14ac:dyDescent="0.35">
      <c r="B546">
        <f t="shared" si="42"/>
        <v>189.64999999999816</v>
      </c>
      <c r="C546">
        <f t="shared" si="43"/>
        <v>-414.02999999999776</v>
      </c>
      <c r="D546">
        <f t="shared" si="44"/>
        <v>-156.31000000000046</v>
      </c>
      <c r="E546">
        <f t="shared" si="40"/>
        <v>492.82255603402308</v>
      </c>
      <c r="F546">
        <f t="shared" si="41"/>
        <v>10.319458898558821</v>
      </c>
    </row>
    <row r="547" spans="2:6" x14ac:dyDescent="0.35">
      <c r="B547">
        <f t="shared" si="42"/>
        <v>189.99999999999815</v>
      </c>
      <c r="C547">
        <f t="shared" si="43"/>
        <v>-414.79999999999774</v>
      </c>
      <c r="D547">
        <f t="shared" si="44"/>
        <v>-156.60000000000045</v>
      </c>
      <c r="E547">
        <f t="shared" si="40"/>
        <v>758.81824947560312</v>
      </c>
      <c r="F547">
        <f t="shared" si="41"/>
        <v>-71.140111240419401</v>
      </c>
    </row>
    <row r="548" spans="2:6" x14ac:dyDescent="0.35">
      <c r="B548">
        <f t="shared" si="42"/>
        <v>190.34999999999815</v>
      </c>
      <c r="C548">
        <f t="shared" si="43"/>
        <v>-415.56999999999772</v>
      </c>
      <c r="D548">
        <f t="shared" si="44"/>
        <v>-156.89000000000044</v>
      </c>
      <c r="E548">
        <f t="shared" si="40"/>
        <v>941.86909153549743</v>
      </c>
      <c r="F548">
        <f t="shared" si="41"/>
        <v>-114.74040489015218</v>
      </c>
    </row>
    <row r="549" spans="2:6" x14ac:dyDescent="0.35">
      <c r="B549">
        <f t="shared" si="42"/>
        <v>190.69999999999814</v>
      </c>
      <c r="C549">
        <f t="shared" si="43"/>
        <v>-416.3399999999977</v>
      </c>
      <c r="D549">
        <f t="shared" si="44"/>
        <v>-157.18000000000043</v>
      </c>
      <c r="E549">
        <f t="shared" si="40"/>
        <v>1014.8953826951461</v>
      </c>
      <c r="F549">
        <f t="shared" si="41"/>
        <v>-127.84469889194676</v>
      </c>
    </row>
    <row r="550" spans="2:6" x14ac:dyDescent="0.35">
      <c r="B550">
        <f t="shared" si="42"/>
        <v>191.04999999999814</v>
      </c>
      <c r="C550">
        <f t="shared" si="43"/>
        <v>-417.10999999999768</v>
      </c>
      <c r="D550">
        <f t="shared" si="44"/>
        <v>-157.47000000000043</v>
      </c>
      <c r="E550">
        <f t="shared" si="40"/>
        <v>965.48382676349843</v>
      </c>
      <c r="F550">
        <f t="shared" si="41"/>
        <v>-124.13541238612514</v>
      </c>
    </row>
    <row r="551" spans="2:6" x14ac:dyDescent="0.35">
      <c r="B551">
        <f t="shared" si="42"/>
        <v>191.39999999999813</v>
      </c>
      <c r="C551">
        <f t="shared" si="43"/>
        <v>-417.87999999999766</v>
      </c>
      <c r="D551">
        <f t="shared" si="44"/>
        <v>-157.76000000000042</v>
      </c>
      <c r="E551">
        <f t="shared" si="40"/>
        <v>798.03679525646646</v>
      </c>
      <c r="F551">
        <f t="shared" si="41"/>
        <v>-119.89057885646247</v>
      </c>
    </row>
    <row r="552" spans="2:6" x14ac:dyDescent="0.35">
      <c r="B552">
        <f t="shared" si="42"/>
        <v>191.74999999999812</v>
      </c>
      <c r="C552">
        <f t="shared" si="43"/>
        <v>-418.64999999999765</v>
      </c>
      <c r="D552">
        <f t="shared" si="44"/>
        <v>-158.05000000000041</v>
      </c>
      <c r="E552">
        <f t="shared" si="40"/>
        <v>533.36403043281962</v>
      </c>
      <c r="F552">
        <f t="shared" si="41"/>
        <v>-129.81978008929883</v>
      </c>
    </row>
    <row r="553" spans="2:6" x14ac:dyDescent="0.35">
      <c r="B553">
        <f t="shared" si="42"/>
        <v>192.09999999999812</v>
      </c>
      <c r="C553">
        <f t="shared" si="43"/>
        <v>-419.41999999999763</v>
      </c>
      <c r="D553">
        <f t="shared" si="44"/>
        <v>-158.3400000000004</v>
      </c>
      <c r="E553">
        <f t="shared" si="40"/>
        <v>205.75514327899901</v>
      </c>
      <c r="F553">
        <f t="shared" si="41"/>
        <v>-163.29951820626303</v>
      </c>
    </row>
    <row r="554" spans="2:6" x14ac:dyDescent="0.35">
      <c r="B554">
        <f t="shared" si="42"/>
        <v>192.44999999999811</v>
      </c>
      <c r="C554">
        <f t="shared" si="43"/>
        <v>-420.18999999999761</v>
      </c>
      <c r="D554">
        <f t="shared" si="44"/>
        <v>-158.63000000000039</v>
      </c>
      <c r="E554">
        <f t="shared" si="40"/>
        <v>-142.01662678334364</v>
      </c>
      <c r="F554">
        <f t="shared" si="41"/>
        <v>-221.76968072883597</v>
      </c>
    </row>
    <row r="555" spans="2:6" x14ac:dyDescent="0.35">
      <c r="B555">
        <f t="shared" si="42"/>
        <v>192.79999999999811</v>
      </c>
      <c r="C555">
        <f t="shared" si="43"/>
        <v>-420.95999999999759</v>
      </c>
      <c r="D555">
        <f t="shared" si="44"/>
        <v>-158.92000000000039</v>
      </c>
      <c r="E555">
        <f t="shared" si="40"/>
        <v>-464.96998124689458</v>
      </c>
      <c r="F555">
        <f t="shared" si="41"/>
        <v>-297.83201870741829</v>
      </c>
    </row>
    <row r="556" spans="2:6" x14ac:dyDescent="0.35">
      <c r="B556">
        <f t="shared" si="42"/>
        <v>193.1499999999981</v>
      </c>
      <c r="C556">
        <f t="shared" si="43"/>
        <v>-421.72999999999757</v>
      </c>
      <c r="D556">
        <f t="shared" si="44"/>
        <v>-159.21000000000038</v>
      </c>
      <c r="E556">
        <f t="shared" si="40"/>
        <v>-722.47289004918559</v>
      </c>
      <c r="F556">
        <f t="shared" si="41"/>
        <v>-376.26827216351114</v>
      </c>
    </row>
    <row r="557" spans="2:6" x14ac:dyDescent="0.35">
      <c r="B557">
        <f t="shared" si="42"/>
        <v>193.4999999999981</v>
      </c>
      <c r="C557">
        <f t="shared" si="43"/>
        <v>-422.49999999999756</v>
      </c>
      <c r="D557">
        <f t="shared" si="44"/>
        <v>-159.50000000000037</v>
      </c>
      <c r="E557">
        <f t="shared" si="40"/>
        <v>-884.04212213409937</v>
      </c>
      <c r="F557">
        <f t="shared" si="41"/>
        <v>-436.82833513671181</v>
      </c>
    </row>
    <row r="558" spans="2:6" x14ac:dyDescent="0.35">
      <c r="B558">
        <f t="shared" si="42"/>
        <v>193.84999999999809</v>
      </c>
      <c r="C558">
        <f t="shared" si="43"/>
        <v>-423.26999999999754</v>
      </c>
      <c r="D558">
        <f t="shared" si="44"/>
        <v>-159.79000000000036</v>
      </c>
      <c r="E558">
        <f t="shared" si="40"/>
        <v>-933.47663722290486</v>
      </c>
      <c r="F558">
        <f t="shared" si="41"/>
        <v>-458.29457483555075</v>
      </c>
    </row>
    <row r="559" spans="2:6" x14ac:dyDescent="0.35">
      <c r="B559">
        <f t="shared" si="42"/>
        <v>194.19999999999808</v>
      </c>
      <c r="C559">
        <f t="shared" si="43"/>
        <v>-424.03999999999752</v>
      </c>
      <c r="D559">
        <f t="shared" si="44"/>
        <v>-160.08000000000035</v>
      </c>
      <c r="E559">
        <f t="shared" si="40"/>
        <v>-870.69829755165699</v>
      </c>
      <c r="F559">
        <f t="shared" si="41"/>
        <v>-423.07041138157371</v>
      </c>
    </row>
    <row r="560" spans="2:6" x14ac:dyDescent="0.35">
      <c r="B560">
        <f t="shared" si="42"/>
        <v>194.54999999999808</v>
      </c>
      <c r="C560">
        <f t="shared" si="43"/>
        <v>-424.8099999999975</v>
      </c>
      <c r="D560">
        <f t="shared" si="44"/>
        <v>-160.37000000000035</v>
      </c>
      <c r="E560">
        <f t="shared" si="40"/>
        <v>-711.05738824865125</v>
      </c>
      <c r="F560">
        <f t="shared" si="41"/>
        <v>-321.41785291770429</v>
      </c>
    </row>
    <row r="561" spans="2:6" x14ac:dyDescent="0.35">
      <c r="B561">
        <f t="shared" si="42"/>
        <v>194.89999999999807</v>
      </c>
      <c r="C561">
        <f t="shared" si="43"/>
        <v>-425.57999999999748</v>
      </c>
      <c r="D561">
        <f t="shared" si="44"/>
        <v>-160.66000000000034</v>
      </c>
      <c r="E561">
        <f t="shared" si="40"/>
        <v>-482.28094369919535</v>
      </c>
      <c r="F561">
        <f t="shared" si="41"/>
        <v>-154.50444240373912</v>
      </c>
    </row>
    <row r="562" spans="2:6" x14ac:dyDescent="0.35">
      <c r="B562">
        <f t="shared" si="42"/>
        <v>195.24999999999807</v>
      </c>
      <c r="C562">
        <f t="shared" si="43"/>
        <v>-426.34999999999746</v>
      </c>
      <c r="D562">
        <f t="shared" si="44"/>
        <v>-160.95000000000033</v>
      </c>
      <c r="E562">
        <f t="shared" si="40"/>
        <v>-219.62710025447728</v>
      </c>
      <c r="F562">
        <f t="shared" si="41"/>
        <v>64.38877236144009</v>
      </c>
    </row>
    <row r="563" spans="2:6" x14ac:dyDescent="0.35">
      <c r="B563">
        <f t="shared" si="42"/>
        <v>195.59999999999806</v>
      </c>
      <c r="C563">
        <f t="shared" si="43"/>
        <v>-427.11999999999745</v>
      </c>
      <c r="D563">
        <f t="shared" si="44"/>
        <v>-161.24000000000032</v>
      </c>
      <c r="E563">
        <f t="shared" si="40"/>
        <v>39.906721887851461</v>
      </c>
      <c r="F563">
        <f t="shared" si="41"/>
        <v>310.83182326649421</v>
      </c>
    </row>
    <row r="564" spans="2:6" x14ac:dyDescent="0.35">
      <c r="B564">
        <f t="shared" si="42"/>
        <v>195.94999999999806</v>
      </c>
      <c r="C564">
        <f t="shared" si="43"/>
        <v>-427.88999999999743</v>
      </c>
      <c r="D564">
        <f t="shared" si="44"/>
        <v>-161.53000000000031</v>
      </c>
      <c r="E564">
        <f t="shared" si="40"/>
        <v>263.33770583131644</v>
      </c>
      <c r="F564">
        <f t="shared" si="41"/>
        <v>552.33240425624626</v>
      </c>
    </row>
    <row r="565" spans="2:6" x14ac:dyDescent="0.35">
      <c r="B565">
        <f t="shared" si="42"/>
        <v>196.29999999999805</v>
      </c>
      <c r="C565">
        <f t="shared" si="43"/>
        <v>-428.65999999999741</v>
      </c>
      <c r="D565">
        <f t="shared" si="44"/>
        <v>-161.82000000000031</v>
      </c>
      <c r="E565">
        <f t="shared" si="40"/>
        <v>426.46319967800531</v>
      </c>
      <c r="F565">
        <f t="shared" si="41"/>
        <v>753.10794473334863</v>
      </c>
    </row>
    <row r="566" spans="2:6" x14ac:dyDescent="0.35">
      <c r="B566">
        <f t="shared" si="42"/>
        <v>196.64999999999804</v>
      </c>
      <c r="C566">
        <f t="shared" si="43"/>
        <v>-429.42999999999739</v>
      </c>
      <c r="D566">
        <f t="shared" si="44"/>
        <v>-162.1100000000003</v>
      </c>
      <c r="E566">
        <f t="shared" si="40"/>
        <v>516.88339497969264</v>
      </c>
      <c r="F566">
        <f t="shared" si="41"/>
        <v>879.78775311836193</v>
      </c>
    </row>
    <row r="567" spans="2:6" x14ac:dyDescent="0.35">
      <c r="B567">
        <f t="shared" si="42"/>
        <v>196.99999999999804</v>
      </c>
      <c r="C567">
        <f t="shared" si="43"/>
        <v>-430.19999999999737</v>
      </c>
      <c r="D567">
        <f t="shared" si="44"/>
        <v>-162.40000000000029</v>
      </c>
      <c r="E567">
        <f t="shared" si="40"/>
        <v>534.84854624124034</v>
      </c>
      <c r="F567">
        <f t="shared" si="41"/>
        <v>907.09594950276323</v>
      </c>
    </row>
    <row r="568" spans="2:6" x14ac:dyDescent="0.35">
      <c r="B568">
        <f t="shared" si="42"/>
        <v>197.34999999999803</v>
      </c>
      <c r="C568">
        <f t="shared" si="43"/>
        <v>-430.96999999999736</v>
      </c>
      <c r="D568">
        <f t="shared" si="44"/>
        <v>-162.69000000000028</v>
      </c>
      <c r="E568">
        <f t="shared" si="40"/>
        <v>491.88859561843054</v>
      </c>
      <c r="F568">
        <f t="shared" si="41"/>
        <v>822.53390776052288</v>
      </c>
    </row>
    <row r="569" spans="2:6" x14ac:dyDescent="0.35">
      <c r="B569">
        <f t="shared" si="42"/>
        <v>197.69999999999803</v>
      </c>
      <c r="C569">
        <f t="shared" si="43"/>
        <v>-431.73999999999734</v>
      </c>
      <c r="D569">
        <f t="shared" si="44"/>
        <v>-162.98000000000027</v>
      </c>
      <c r="E569">
        <f t="shared" si="40"/>
        <v>407.57276425346527</v>
      </c>
      <c r="F569">
        <f t="shared" si="41"/>
        <v>629.21965442438261</v>
      </c>
    </row>
    <row r="570" spans="2:6" x14ac:dyDescent="0.35">
      <c r="B570">
        <f t="shared" si="42"/>
        <v>198.04999999999802</v>
      </c>
      <c r="C570">
        <f t="shared" si="43"/>
        <v>-432.50999999999732</v>
      </c>
      <c r="D570">
        <f t="shared" si="44"/>
        <v>-163.27000000000027</v>
      </c>
      <c r="E570">
        <f t="shared" si="40"/>
        <v>305.067104066333</v>
      </c>
      <c r="F570">
        <f t="shared" si="41"/>
        <v>346.33016488100628</v>
      </c>
    </row>
    <row r="571" spans="2:6" x14ac:dyDescent="0.35">
      <c r="B571">
        <f t="shared" si="42"/>
        <v>198.39999999999802</v>
      </c>
      <c r="C571">
        <f t="shared" si="43"/>
        <v>-433.2799999999973</v>
      </c>
      <c r="D571">
        <f t="shared" si="44"/>
        <v>-163.56000000000026</v>
      </c>
      <c r="E571">
        <f t="shared" si="40"/>
        <v>206.35337561409472</v>
      </c>
      <c r="F571">
        <f t="shared" si="41"/>
        <v>6.9833161098451626</v>
      </c>
    </row>
    <row r="572" spans="2:6" x14ac:dyDescent="0.35">
      <c r="B572">
        <f t="shared" si="42"/>
        <v>198.74999999999801</v>
      </c>
      <c r="C572">
        <f t="shared" si="43"/>
        <v>-434.04999999999728</v>
      </c>
      <c r="D572">
        <f t="shared" si="44"/>
        <v>-163.85000000000025</v>
      </c>
      <c r="E572">
        <f t="shared" si="40"/>
        <v>128.0096486841212</v>
      </c>
      <c r="F572">
        <f t="shared" si="41"/>
        <v>-346.17651010494995</v>
      </c>
    </row>
    <row r="573" spans="2:6" x14ac:dyDescent="0.35">
      <c r="B573">
        <f t="shared" si="42"/>
        <v>199.099999999998</v>
      </c>
      <c r="C573">
        <f t="shared" si="43"/>
        <v>-434.81999999999726</v>
      </c>
      <c r="D573">
        <f t="shared" si="44"/>
        <v>-164.14000000000024</v>
      </c>
      <c r="E573">
        <f t="shared" si="40"/>
        <v>78.326753350974514</v>
      </c>
      <c r="F573">
        <f t="shared" si="41"/>
        <v>-667.03459388846557</v>
      </c>
    </row>
    <row r="574" spans="2:6" x14ac:dyDescent="0.35">
      <c r="B574">
        <f t="shared" si="42"/>
        <v>199.449999999998</v>
      </c>
      <c r="C574">
        <f t="shared" si="43"/>
        <v>-435.58999999999725</v>
      </c>
      <c r="D574">
        <f t="shared" si="44"/>
        <v>-164.43000000000023</v>
      </c>
      <c r="E574">
        <f t="shared" si="40"/>
        <v>56.2692998295839</v>
      </c>
      <c r="F574">
        <f t="shared" si="41"/>
        <v>-912.76286494955946</v>
      </c>
    </row>
    <row r="575" spans="2:6" x14ac:dyDescent="0.35">
      <c r="B575">
        <f t="shared" si="42"/>
        <v>199.79999999999799</v>
      </c>
      <c r="C575">
        <f t="shared" si="43"/>
        <v>-436.35999999999723</v>
      </c>
      <c r="D575">
        <f t="shared" si="44"/>
        <v>-164.72000000000023</v>
      </c>
      <c r="E575">
        <f t="shared" si="40"/>
        <v>52.434360541543299</v>
      </c>
      <c r="F575">
        <f t="shared" si="41"/>
        <v>-1050.204889613341</v>
      </c>
    </row>
    <row r="576" spans="2:6" x14ac:dyDescent="0.35">
      <c r="B576">
        <f t="shared" si="42"/>
        <v>200.14999999999799</v>
      </c>
      <c r="C576">
        <f t="shared" si="43"/>
        <v>-437.12999999999721</v>
      </c>
      <c r="D576">
        <f t="shared" si="44"/>
        <v>-165.01000000000022</v>
      </c>
      <c r="E576">
        <f t="shared" si="40"/>
        <v>51.780017371980854</v>
      </c>
      <c r="F576">
        <f t="shared" si="41"/>
        <v>-1060.8627943172335</v>
      </c>
    </row>
    <row r="577" spans="2:6" x14ac:dyDescent="0.35">
      <c r="B577">
        <f t="shared" si="42"/>
        <v>200.49999999999798</v>
      </c>
      <c r="C577">
        <f t="shared" si="43"/>
        <v>-437.89999999999719</v>
      </c>
      <c r="D577">
        <f t="shared" si="44"/>
        <v>-165.30000000000021</v>
      </c>
      <c r="E577">
        <f t="shared" si="40"/>
        <v>37.559208280828045</v>
      </c>
      <c r="F577">
        <f t="shared" si="41"/>
        <v>-943.67907639885414</v>
      </c>
    </row>
    <row r="578" spans="2:6" x14ac:dyDescent="0.35">
      <c r="B578">
        <f t="shared" si="42"/>
        <v>200.84999999999798</v>
      </c>
      <c r="C578">
        <f t="shared" si="43"/>
        <v>-438.66999999999717</v>
      </c>
      <c r="D578">
        <f t="shared" si="44"/>
        <v>-165.5900000000002</v>
      </c>
      <c r="E578">
        <f t="shared" si="40"/>
        <v>-4.3369054255530273</v>
      </c>
      <c r="F578">
        <f t="shared" si="41"/>
        <v>-715.16154843095626</v>
      </c>
    </row>
    <row r="579" spans="2:6" x14ac:dyDescent="0.35">
      <c r="B579">
        <f t="shared" si="42"/>
        <v>201.19999999999797</v>
      </c>
      <c r="C579">
        <f t="shared" si="43"/>
        <v>-439.43999999999716</v>
      </c>
      <c r="D579">
        <f t="shared" si="44"/>
        <v>-165.88000000000019</v>
      </c>
      <c r="E579">
        <f t="shared" si="40"/>
        <v>-81.505005199855248</v>
      </c>
      <c r="F579">
        <f t="shared" si="41"/>
        <v>-406.83172841532206</v>
      </c>
    </row>
    <row r="580" spans="2:6" x14ac:dyDescent="0.35">
      <c r="B580">
        <f t="shared" si="42"/>
        <v>201.54999999999797</v>
      </c>
      <c r="C580">
        <f t="shared" si="43"/>
        <v>-440.20999999999714</v>
      </c>
      <c r="D580">
        <f t="shared" si="44"/>
        <v>-166.17000000000019</v>
      </c>
      <c r="E580">
        <f t="shared" si="40"/>
        <v>-192.42333506523806</v>
      </c>
      <c r="F580">
        <f t="shared" si="41"/>
        <v>-60.412946934128883</v>
      </c>
    </row>
    <row r="581" spans="2:6" x14ac:dyDescent="0.35">
      <c r="B581">
        <f t="shared" si="42"/>
        <v>201.89999999999796</v>
      </c>
      <c r="C581">
        <f t="shared" si="43"/>
        <v>-440.97999999999712</v>
      </c>
      <c r="D581">
        <f t="shared" si="44"/>
        <v>-166.46000000000018</v>
      </c>
      <c r="E581">
        <f t="shared" si="40"/>
        <v>-325.68033781457444</v>
      </c>
      <c r="F581">
        <f t="shared" si="41"/>
        <v>278.4594239717884</v>
      </c>
    </row>
    <row r="582" spans="2:6" x14ac:dyDescent="0.35">
      <c r="B582">
        <f t="shared" si="42"/>
        <v>202.24999999999795</v>
      </c>
      <c r="C582">
        <f t="shared" si="43"/>
        <v>-441.7499999999971</v>
      </c>
      <c r="D582">
        <f t="shared" si="44"/>
        <v>-166.75000000000017</v>
      </c>
      <c r="E582">
        <f t="shared" si="40"/>
        <v>-461.26522650990637</v>
      </c>
      <c r="F582">
        <f t="shared" si="41"/>
        <v>566.98875532230431</v>
      </c>
    </row>
    <row r="583" spans="2:6" x14ac:dyDescent="0.35">
      <c r="B583">
        <f t="shared" si="42"/>
        <v>202.59999999999795</v>
      </c>
      <c r="C583">
        <f t="shared" si="43"/>
        <v>-442.51999999999708</v>
      </c>
      <c r="D583">
        <f t="shared" si="44"/>
        <v>-167.04000000000016</v>
      </c>
      <c r="E583">
        <f t="shared" ref="E583:E646" si="45">(B583-C583)*COS(D583)+C583*COS((B583/C583-1)*D583)</f>
        <v>-573.75900270796876</v>
      </c>
      <c r="F583">
        <f t="shared" ref="F583:F646" si="46">(B583-C583)*SIN(D583)+C583*SIN((B583/C583-1)*D583)</f>
        <v>771.34860728858814</v>
      </c>
    </row>
    <row r="584" spans="2:6" x14ac:dyDescent="0.35">
      <c r="B584">
        <f t="shared" ref="B584:B647" si="47">B583+$B$2</f>
        <v>202.94999999999794</v>
      </c>
      <c r="C584">
        <f t="shared" ref="C584:C647" si="48">C583+$B$3</f>
        <v>-443.28999999999706</v>
      </c>
      <c r="D584">
        <f t="shared" ref="D584:D647" si="49">D583+$B$4</f>
        <v>-167.33000000000015</v>
      </c>
      <c r="E584">
        <f t="shared" si="45"/>
        <v>-636.89798440144887</v>
      </c>
      <c r="F584">
        <f t="shared" si="46"/>
        <v>871.23193670918704</v>
      </c>
    </row>
    <row r="585" spans="2:6" x14ac:dyDescent="0.35">
      <c r="B585">
        <f t="shared" si="47"/>
        <v>203.29999999999794</v>
      </c>
      <c r="C585">
        <f t="shared" si="48"/>
        <v>-444.05999999999705</v>
      </c>
      <c r="D585">
        <f t="shared" si="49"/>
        <v>-167.62000000000015</v>
      </c>
      <c r="E585">
        <f t="shared" si="45"/>
        <v>-628.70463310635193</v>
      </c>
      <c r="F585">
        <f t="shared" si="46"/>
        <v>862.13248556359122</v>
      </c>
    </row>
    <row r="586" spans="2:6" x14ac:dyDescent="0.35">
      <c r="B586">
        <f t="shared" si="47"/>
        <v>203.64999999999793</v>
      </c>
      <c r="C586">
        <f t="shared" si="48"/>
        <v>-444.82999999999703</v>
      </c>
      <c r="D586">
        <f t="shared" si="49"/>
        <v>-167.91000000000014</v>
      </c>
      <c r="E586">
        <f t="shared" si="45"/>
        <v>-536.24425608574666</v>
      </c>
      <c r="F586">
        <f t="shared" si="46"/>
        <v>755.06153613832021</v>
      </c>
    </row>
    <row r="587" spans="2:6" x14ac:dyDescent="0.35">
      <c r="B587">
        <f t="shared" si="47"/>
        <v>203.99999999999793</v>
      </c>
      <c r="C587">
        <f t="shared" si="48"/>
        <v>-445.59999999999701</v>
      </c>
      <c r="D587">
        <f t="shared" si="49"/>
        <v>-168.20000000000013</v>
      </c>
      <c r="E587">
        <f t="shared" si="45"/>
        <v>-359.09825359315681</v>
      </c>
      <c r="F587">
        <f t="shared" si="46"/>
        <v>573.83609499223633</v>
      </c>
    </row>
    <row r="588" spans="2:6" x14ac:dyDescent="0.35">
      <c r="B588">
        <f t="shared" si="47"/>
        <v>204.34999999999792</v>
      </c>
      <c r="C588">
        <f t="shared" si="48"/>
        <v>-446.36999999999699</v>
      </c>
      <c r="D588">
        <f t="shared" si="49"/>
        <v>-168.49000000000012</v>
      </c>
      <c r="E588">
        <f t="shared" si="45"/>
        <v>-110.84248205513239</v>
      </c>
      <c r="F588">
        <f t="shared" si="46"/>
        <v>350.47702195198099</v>
      </c>
    </row>
    <row r="589" spans="2:6" x14ac:dyDescent="0.35">
      <c r="B589">
        <f t="shared" si="47"/>
        <v>204.69999999999791</v>
      </c>
      <c r="C589">
        <f t="shared" si="48"/>
        <v>-447.13999999999697</v>
      </c>
      <c r="D589">
        <f t="shared" si="49"/>
        <v>-168.78000000000011</v>
      </c>
      <c r="E589">
        <f t="shared" si="45"/>
        <v>181.84911414130138</v>
      </c>
      <c r="F589">
        <f t="shared" si="46"/>
        <v>119.55888152625857</v>
      </c>
    </row>
    <row r="590" spans="2:6" x14ac:dyDescent="0.35">
      <c r="B590">
        <f t="shared" si="47"/>
        <v>205.04999999999791</v>
      </c>
      <c r="C590">
        <f t="shared" si="48"/>
        <v>-447.90999999999696</v>
      </c>
      <c r="D590">
        <f t="shared" si="49"/>
        <v>-169.07000000000011</v>
      </c>
      <c r="E590">
        <f t="shared" si="45"/>
        <v>482.44657319261017</v>
      </c>
      <c r="F590">
        <f t="shared" si="46"/>
        <v>-87.493713141182411</v>
      </c>
    </row>
    <row r="591" spans="2:6" x14ac:dyDescent="0.35">
      <c r="B591">
        <f t="shared" si="47"/>
        <v>205.3999999999979</v>
      </c>
      <c r="C591">
        <f t="shared" si="48"/>
        <v>-448.67999999999694</v>
      </c>
      <c r="D591">
        <f t="shared" si="49"/>
        <v>-169.3600000000001</v>
      </c>
      <c r="E591">
        <f t="shared" si="45"/>
        <v>749.70743212026184</v>
      </c>
      <c r="F591">
        <f t="shared" si="46"/>
        <v>-247.19032648483696</v>
      </c>
    </row>
    <row r="592" spans="2:6" x14ac:dyDescent="0.35">
      <c r="B592">
        <f t="shared" si="47"/>
        <v>205.7499999999979</v>
      </c>
      <c r="C592">
        <f t="shared" si="48"/>
        <v>-449.44999999999692</v>
      </c>
      <c r="D592">
        <f t="shared" si="49"/>
        <v>-169.65000000000009</v>
      </c>
      <c r="E592">
        <f t="shared" si="45"/>
        <v>943.92899580147969</v>
      </c>
      <c r="F592">
        <f t="shared" si="46"/>
        <v>-347.05708751280417</v>
      </c>
    </row>
    <row r="593" spans="2:6" x14ac:dyDescent="0.35">
      <c r="B593">
        <f t="shared" si="47"/>
        <v>206.09999999999789</v>
      </c>
      <c r="C593">
        <f t="shared" si="48"/>
        <v>-450.2199999999969</v>
      </c>
      <c r="D593">
        <f t="shared" si="49"/>
        <v>-169.94000000000008</v>
      </c>
      <c r="E593">
        <f t="shared" si="45"/>
        <v>1033.2975049241338</v>
      </c>
      <c r="F593">
        <f t="shared" si="46"/>
        <v>-386.55844655726821</v>
      </c>
    </row>
    <row r="594" spans="2:6" x14ac:dyDescent="0.35">
      <c r="B594">
        <f t="shared" si="47"/>
        <v>206.44999999999789</v>
      </c>
      <c r="C594">
        <f t="shared" si="48"/>
        <v>-450.98999999999688</v>
      </c>
      <c r="D594">
        <f t="shared" si="49"/>
        <v>-170.23000000000008</v>
      </c>
      <c r="E594">
        <f t="shared" si="45"/>
        <v>999.27319069965461</v>
      </c>
      <c r="F594">
        <f t="shared" si="46"/>
        <v>-375.79752196740685</v>
      </c>
    </row>
    <row r="595" spans="2:6" x14ac:dyDescent="0.35">
      <c r="B595">
        <f t="shared" si="47"/>
        <v>206.79999999999788</v>
      </c>
      <c r="C595">
        <f t="shared" si="48"/>
        <v>-451.75999999999686</v>
      </c>
      <c r="D595">
        <f t="shared" si="49"/>
        <v>-170.52000000000007</v>
      </c>
      <c r="E595">
        <f t="shared" si="45"/>
        <v>840.08264285399696</v>
      </c>
      <c r="F595">
        <f t="shared" si="46"/>
        <v>-332.33529709645666</v>
      </c>
    </row>
    <row r="596" spans="2:6" x14ac:dyDescent="0.35">
      <c r="B596">
        <f t="shared" si="47"/>
        <v>207.14999999999787</v>
      </c>
      <c r="C596">
        <f t="shared" si="48"/>
        <v>-452.52999999999685</v>
      </c>
      <c r="D596">
        <f t="shared" si="49"/>
        <v>-170.81000000000006</v>
      </c>
      <c r="E596">
        <f t="shared" si="45"/>
        <v>571.68408073090131</v>
      </c>
      <c r="F596">
        <f t="shared" si="46"/>
        <v>-276.8016045966562</v>
      </c>
    </row>
    <row r="597" spans="2:6" x14ac:dyDescent="0.35">
      <c r="B597">
        <f t="shared" si="47"/>
        <v>207.49999999999787</v>
      </c>
      <c r="C597">
        <f t="shared" si="48"/>
        <v>-453.29999999999683</v>
      </c>
      <c r="D597">
        <f t="shared" si="49"/>
        <v>-171.10000000000005</v>
      </c>
      <c r="E597">
        <f t="shared" si="45"/>
        <v>225.97881885625856</v>
      </c>
      <c r="F597">
        <f t="shared" si="46"/>
        <v>-228.17635119336961</v>
      </c>
    </row>
    <row r="598" spans="2:6" x14ac:dyDescent="0.35">
      <c r="B598">
        <f t="shared" si="47"/>
        <v>207.84999999999786</v>
      </c>
      <c r="C598">
        <f t="shared" si="48"/>
        <v>-454.06999999999681</v>
      </c>
      <c r="D598">
        <f t="shared" si="49"/>
        <v>-171.39000000000004</v>
      </c>
      <c r="E598">
        <f t="shared" si="45"/>
        <v>-153.50491946736099</v>
      </c>
      <c r="F598">
        <f t="shared" si="46"/>
        <v>-199.66197549283817</v>
      </c>
    </row>
    <row r="599" spans="2:6" x14ac:dyDescent="0.35">
      <c r="B599">
        <f t="shared" si="47"/>
        <v>208.19999999999786</v>
      </c>
      <c r="C599">
        <f t="shared" si="48"/>
        <v>-454.83999999999679</v>
      </c>
      <c r="D599">
        <f t="shared" si="49"/>
        <v>-171.68000000000004</v>
      </c>
      <c r="E599">
        <f t="shared" si="45"/>
        <v>-517.80852874840434</v>
      </c>
      <c r="F599">
        <f t="shared" si="46"/>
        <v>-195.94117147858367</v>
      </c>
    </row>
    <row r="600" spans="2:6" x14ac:dyDescent="0.35">
      <c r="B600">
        <f t="shared" si="47"/>
        <v>208.54999999999785</v>
      </c>
      <c r="C600">
        <f t="shared" si="48"/>
        <v>-455.60999999999677</v>
      </c>
      <c r="D600">
        <f t="shared" si="49"/>
        <v>-171.97000000000003</v>
      </c>
      <c r="E600">
        <f t="shared" si="45"/>
        <v>-819.65521318081437</v>
      </c>
      <c r="F600">
        <f t="shared" si="46"/>
        <v>-212.34134482694225</v>
      </c>
    </row>
    <row r="601" spans="2:6" x14ac:dyDescent="0.35">
      <c r="B601">
        <f t="shared" si="47"/>
        <v>208.89999999999785</v>
      </c>
      <c r="C601">
        <f t="shared" si="48"/>
        <v>-456.37999999999676</v>
      </c>
      <c r="D601">
        <f t="shared" si="49"/>
        <v>-172.26000000000002</v>
      </c>
      <c r="E601">
        <f t="shared" si="45"/>
        <v>-1020.3544070571174</v>
      </c>
      <c r="F601">
        <f t="shared" si="46"/>
        <v>-236.05913478784313</v>
      </c>
    </row>
    <row r="602" spans="2:6" x14ac:dyDescent="0.35">
      <c r="B602">
        <f t="shared" si="47"/>
        <v>209.24999999999784</v>
      </c>
      <c r="C602">
        <f t="shared" si="48"/>
        <v>-457.14999999999674</v>
      </c>
      <c r="D602">
        <f t="shared" si="49"/>
        <v>-172.55</v>
      </c>
      <c r="E602">
        <f t="shared" si="45"/>
        <v>-1095.4027718415937</v>
      </c>
      <c r="F602">
        <f t="shared" si="46"/>
        <v>-249.20188965458641</v>
      </c>
    </row>
    <row r="603" spans="2:6" x14ac:dyDescent="0.35">
      <c r="B603">
        <f t="shared" si="47"/>
        <v>209.59999999999783</v>
      </c>
      <c r="C603">
        <f t="shared" si="48"/>
        <v>-457.91999999999672</v>
      </c>
      <c r="D603">
        <f t="shared" si="49"/>
        <v>-172.84</v>
      </c>
      <c r="E603">
        <f t="shared" si="45"/>
        <v>-1037.8965771350945</v>
      </c>
      <c r="F603">
        <f t="shared" si="46"/>
        <v>-233.05070918020812</v>
      </c>
    </row>
    <row r="604" spans="2:6" x14ac:dyDescent="0.35">
      <c r="B604">
        <f t="shared" si="47"/>
        <v>209.94999999999783</v>
      </c>
      <c r="C604">
        <f t="shared" si="48"/>
        <v>-458.6899999999967</v>
      </c>
      <c r="D604">
        <f t="shared" si="49"/>
        <v>-173.13</v>
      </c>
      <c r="E604">
        <f t="shared" si="45"/>
        <v>-859.22825951402217</v>
      </c>
      <c r="F604">
        <f t="shared" si="46"/>
        <v>-172.70630448691068</v>
      </c>
    </row>
    <row r="605" spans="2:6" x14ac:dyDescent="0.35">
      <c r="B605">
        <f t="shared" si="47"/>
        <v>210.29999999999782</v>
      </c>
      <c r="C605">
        <f t="shared" si="48"/>
        <v>-459.45999999999668</v>
      </c>
      <c r="D605">
        <f t="shared" si="49"/>
        <v>-173.42</v>
      </c>
      <c r="E605">
        <f t="shared" si="45"/>
        <v>-586.98501715060581</v>
      </c>
      <c r="F605">
        <f t="shared" si="46"/>
        <v>-61.189851358304907</v>
      </c>
    </row>
    <row r="606" spans="2:6" x14ac:dyDescent="0.35">
      <c r="B606">
        <f t="shared" si="47"/>
        <v>210.64999999999782</v>
      </c>
      <c r="C606">
        <f t="shared" si="48"/>
        <v>-460.22999999999666</v>
      </c>
      <c r="D606">
        <f t="shared" si="49"/>
        <v>-173.70999999999998</v>
      </c>
      <c r="E606">
        <f t="shared" si="45"/>
        <v>-260.42405899782705</v>
      </c>
      <c r="F606">
        <f t="shared" si="46"/>
        <v>97.845990034726753</v>
      </c>
    </row>
    <row r="607" spans="2:6" x14ac:dyDescent="0.35">
      <c r="B607">
        <f t="shared" si="47"/>
        <v>210.99999999999781</v>
      </c>
      <c r="C607">
        <f t="shared" si="48"/>
        <v>-460.99999999999665</v>
      </c>
      <c r="D607">
        <f t="shared" si="49"/>
        <v>-173.99999999999997</v>
      </c>
      <c r="E607">
        <f t="shared" si="45"/>
        <v>75.709741262285633</v>
      </c>
      <c r="F607">
        <f t="shared" si="46"/>
        <v>289.39881043471701</v>
      </c>
    </row>
    <row r="608" spans="2:6" x14ac:dyDescent="0.35">
      <c r="B608">
        <f t="shared" si="47"/>
        <v>211.34999999999781</v>
      </c>
      <c r="C608">
        <f t="shared" si="48"/>
        <v>-461.76999999999663</v>
      </c>
      <c r="D608">
        <f t="shared" si="49"/>
        <v>-174.28999999999996</v>
      </c>
      <c r="E608">
        <f t="shared" si="45"/>
        <v>377.99846881822776</v>
      </c>
      <c r="F608">
        <f t="shared" si="46"/>
        <v>488.63502456492631</v>
      </c>
    </row>
    <row r="609" spans="2:6" x14ac:dyDescent="0.35">
      <c r="B609">
        <f t="shared" si="47"/>
        <v>211.6999999999978</v>
      </c>
      <c r="C609">
        <f t="shared" si="48"/>
        <v>-462.53999999999661</v>
      </c>
      <c r="D609">
        <f t="shared" si="49"/>
        <v>-174.57999999999996</v>
      </c>
      <c r="E609">
        <f t="shared" si="45"/>
        <v>610.68791947599539</v>
      </c>
      <c r="F609">
        <f t="shared" si="46"/>
        <v>664.47710426527669</v>
      </c>
    </row>
    <row r="610" spans="2:6" x14ac:dyDescent="0.35">
      <c r="B610">
        <f t="shared" si="47"/>
        <v>212.04999999999779</v>
      </c>
      <c r="C610">
        <f t="shared" si="48"/>
        <v>-463.30999999999659</v>
      </c>
      <c r="D610">
        <f t="shared" si="49"/>
        <v>-174.86999999999995</v>
      </c>
      <c r="E610">
        <f t="shared" si="45"/>
        <v>750.53922354006954</v>
      </c>
      <c r="F610">
        <f t="shared" si="46"/>
        <v>784.69950532571079</v>
      </c>
    </row>
    <row r="611" spans="2:6" x14ac:dyDescent="0.35">
      <c r="B611">
        <f t="shared" si="47"/>
        <v>212.39999999999779</v>
      </c>
      <c r="C611">
        <f t="shared" si="48"/>
        <v>-464.07999999999657</v>
      </c>
      <c r="D611">
        <f t="shared" si="49"/>
        <v>-175.15999999999994</v>
      </c>
      <c r="E611">
        <f t="shared" si="45"/>
        <v>789.45933846068738</v>
      </c>
      <c r="F611">
        <f t="shared" si="46"/>
        <v>821.67319864218302</v>
      </c>
    </row>
    <row r="612" spans="2:6" x14ac:dyDescent="0.35">
      <c r="B612">
        <f t="shared" si="47"/>
        <v>212.74999999999778</v>
      </c>
      <c r="C612">
        <f t="shared" si="48"/>
        <v>-464.84999999999656</v>
      </c>
      <c r="D612">
        <f t="shared" si="49"/>
        <v>-175.44999999999993</v>
      </c>
      <c r="E612">
        <f t="shared" si="45"/>
        <v>734.56575403487216</v>
      </c>
      <c r="F612">
        <f t="shared" si="46"/>
        <v>757.74604742290592</v>
      </c>
    </row>
    <row r="613" spans="2:6" x14ac:dyDescent="0.35">
      <c r="B613">
        <f t="shared" si="47"/>
        <v>213.09999999999778</v>
      </c>
      <c r="C613">
        <f t="shared" si="48"/>
        <v>-465.61999999999654</v>
      </c>
      <c r="D613">
        <f t="shared" si="49"/>
        <v>-175.73999999999992</v>
      </c>
      <c r="E613">
        <f t="shared" si="45"/>
        <v>605.78351492905983</v>
      </c>
      <c r="F613">
        <f t="shared" si="46"/>
        <v>589.27135920325065</v>
      </c>
    </row>
    <row r="614" spans="2:6" x14ac:dyDescent="0.35">
      <c r="B614">
        <f t="shared" si="47"/>
        <v>213.44999999999777</v>
      </c>
      <c r="C614">
        <f t="shared" si="48"/>
        <v>-466.38999999999652</v>
      </c>
      <c r="D614">
        <f t="shared" si="49"/>
        <v>-176.02999999999992</v>
      </c>
      <c r="E614">
        <f t="shared" si="45"/>
        <v>431.48977110277553</v>
      </c>
      <c r="F614">
        <f t="shared" si="46"/>
        <v>328.49894203225125</v>
      </c>
    </row>
    <row r="615" spans="2:6" x14ac:dyDescent="0.35">
      <c r="B615">
        <f t="shared" si="47"/>
        <v>213.79999999999777</v>
      </c>
      <c r="C615">
        <f t="shared" si="48"/>
        <v>-467.1599999999965</v>
      </c>
      <c r="D615">
        <f t="shared" si="49"/>
        <v>-176.31999999999991</v>
      </c>
      <c r="E615">
        <f t="shared" si="45"/>
        <v>243.04052840577816</v>
      </c>
      <c r="F615">
        <f t="shared" si="46"/>
        <v>2.8897172775642161</v>
      </c>
    </row>
    <row r="616" spans="2:6" x14ac:dyDescent="0.35">
      <c r="B616">
        <f t="shared" si="47"/>
        <v>214.14999999999776</v>
      </c>
      <c r="C616">
        <f t="shared" si="48"/>
        <v>-467.92999999999648</v>
      </c>
      <c r="D616">
        <f t="shared" si="49"/>
        <v>-176.6099999999999</v>
      </c>
      <c r="E616">
        <f t="shared" si="45"/>
        <v>69.181731433481787</v>
      </c>
      <c r="F616">
        <f t="shared" si="46"/>
        <v>-348.1518293925792</v>
      </c>
    </row>
    <row r="617" spans="2:6" x14ac:dyDescent="0.35">
      <c r="B617">
        <f t="shared" si="47"/>
        <v>214.49999999999775</v>
      </c>
      <c r="C617">
        <f t="shared" si="48"/>
        <v>-468.69999999999646</v>
      </c>
      <c r="D617">
        <f t="shared" si="49"/>
        <v>-176.89999999999989</v>
      </c>
      <c r="E617">
        <f t="shared" si="45"/>
        <v>-68.665022746797092</v>
      </c>
      <c r="F617">
        <f t="shared" si="46"/>
        <v>-678.68763037810891</v>
      </c>
    </row>
    <row r="618" spans="2:6" x14ac:dyDescent="0.35">
      <c r="B618">
        <f t="shared" si="47"/>
        <v>214.84999999999775</v>
      </c>
      <c r="C618">
        <f t="shared" si="48"/>
        <v>-469.46999999999645</v>
      </c>
      <c r="D618">
        <f t="shared" si="49"/>
        <v>-177.18999999999988</v>
      </c>
      <c r="E618">
        <f t="shared" si="45"/>
        <v>-159.4385276294378</v>
      </c>
      <c r="F618">
        <f t="shared" si="46"/>
        <v>-942.97855227717889</v>
      </c>
    </row>
    <row r="619" spans="2:6" x14ac:dyDescent="0.35">
      <c r="B619">
        <f t="shared" si="47"/>
        <v>215.19999999999774</v>
      </c>
      <c r="C619">
        <f t="shared" si="48"/>
        <v>-470.23999999999643</v>
      </c>
      <c r="D619">
        <f t="shared" si="49"/>
        <v>-177.47999999999988</v>
      </c>
      <c r="E619">
        <f t="shared" si="45"/>
        <v>-203.31844258362338</v>
      </c>
      <c r="F619">
        <f t="shared" si="46"/>
        <v>-1102.4718101860017</v>
      </c>
    </row>
    <row r="620" spans="2:6" x14ac:dyDescent="0.35">
      <c r="B620">
        <f t="shared" si="47"/>
        <v>215.54999999999774</v>
      </c>
      <c r="C620">
        <f t="shared" si="48"/>
        <v>-471.00999999999641</v>
      </c>
      <c r="D620">
        <f t="shared" si="49"/>
        <v>-177.76999999999987</v>
      </c>
      <c r="E620">
        <f t="shared" si="45"/>
        <v>-210.37904803531396</v>
      </c>
      <c r="F620">
        <f t="shared" si="46"/>
        <v>-1131.9053265523182</v>
      </c>
    </row>
    <row r="621" spans="2:6" x14ac:dyDescent="0.35">
      <c r="B621">
        <f t="shared" si="47"/>
        <v>215.89999999999773</v>
      </c>
      <c r="C621">
        <f t="shared" si="48"/>
        <v>-471.77999999999639</v>
      </c>
      <c r="D621">
        <f t="shared" si="49"/>
        <v>-178.05999999999986</v>
      </c>
      <c r="E621">
        <f t="shared" si="45"/>
        <v>-197.35765001640544</v>
      </c>
      <c r="F621">
        <f t="shared" si="46"/>
        <v>-1023.512929279477</v>
      </c>
    </row>
    <row r="622" spans="2:6" x14ac:dyDescent="0.35">
      <c r="B622">
        <f t="shared" si="47"/>
        <v>216.24999999999773</v>
      </c>
      <c r="C622">
        <f t="shared" si="48"/>
        <v>-472.54999999999637</v>
      </c>
      <c r="D622">
        <f t="shared" si="49"/>
        <v>-178.34999999999985</v>
      </c>
      <c r="E622">
        <f t="shared" si="45"/>
        <v>-183.22360202687605</v>
      </c>
      <c r="F622">
        <f t="shared" si="46"/>
        <v>-788.60997294731055</v>
      </c>
    </row>
    <row r="623" spans="2:6" x14ac:dyDescent="0.35">
      <c r="B623">
        <f t="shared" si="47"/>
        <v>216.59999999999772</v>
      </c>
      <c r="C623">
        <f t="shared" si="48"/>
        <v>-473.31999999999636</v>
      </c>
      <c r="D623">
        <f t="shared" si="49"/>
        <v>-178.63999999999984</v>
      </c>
      <c r="E623">
        <f t="shared" si="45"/>
        <v>-184.44877452595392</v>
      </c>
      <c r="F623">
        <f t="shared" si="46"/>
        <v>-456.26000545997402</v>
      </c>
    </row>
    <row r="624" spans="2:6" x14ac:dyDescent="0.35">
      <c r="B624">
        <f t="shared" si="47"/>
        <v>216.94999999999771</v>
      </c>
      <c r="C624">
        <f t="shared" si="48"/>
        <v>-474.08999999999634</v>
      </c>
      <c r="D624">
        <f t="shared" si="49"/>
        <v>-178.92999999999984</v>
      </c>
      <c r="E624">
        <f t="shared" si="45"/>
        <v>-210.9270666361175</v>
      </c>
      <c r="F624">
        <f t="shared" si="46"/>
        <v>-69.199011998962348</v>
      </c>
    </row>
    <row r="625" spans="2:6" x14ac:dyDescent="0.35">
      <c r="B625">
        <f t="shared" si="47"/>
        <v>217.29999999999771</v>
      </c>
      <c r="C625">
        <f t="shared" si="48"/>
        <v>-474.85999999999632</v>
      </c>
      <c r="D625">
        <f t="shared" si="49"/>
        <v>-179.21999999999983</v>
      </c>
      <c r="E625">
        <f t="shared" si="45"/>
        <v>-263.36114389445669</v>
      </c>
      <c r="F625">
        <f t="shared" si="46"/>
        <v>322.35586406167209</v>
      </c>
    </row>
    <row r="626" spans="2:6" x14ac:dyDescent="0.35">
      <c r="B626">
        <f t="shared" si="47"/>
        <v>217.6499999999977</v>
      </c>
      <c r="C626">
        <f t="shared" si="48"/>
        <v>-475.6299999999963</v>
      </c>
      <c r="D626">
        <f t="shared" si="49"/>
        <v>-179.50999999999982</v>
      </c>
      <c r="E626">
        <f t="shared" si="45"/>
        <v>-332.65267147190457</v>
      </c>
      <c r="F626">
        <f t="shared" si="46"/>
        <v>668.03790431303787</v>
      </c>
    </row>
    <row r="627" spans="2:6" x14ac:dyDescent="0.35">
      <c r="B627">
        <f t="shared" si="47"/>
        <v>217.9999999999977</v>
      </c>
      <c r="C627">
        <f t="shared" si="48"/>
        <v>-476.39999999999628</v>
      </c>
      <c r="D627">
        <f t="shared" si="49"/>
        <v>-179.79999999999981</v>
      </c>
      <c r="E627">
        <f t="shared" si="45"/>
        <v>-401.44913534772564</v>
      </c>
      <c r="F627">
        <f t="shared" si="46"/>
        <v>924.64058737242794</v>
      </c>
    </row>
    <row r="628" spans="2:6" x14ac:dyDescent="0.35">
      <c r="B628">
        <f t="shared" si="47"/>
        <v>218.34999999999769</v>
      </c>
      <c r="C628">
        <f t="shared" si="48"/>
        <v>-477.16999999999626</v>
      </c>
      <c r="D628">
        <f t="shared" si="49"/>
        <v>-180.0899999999998</v>
      </c>
      <c r="E628">
        <f t="shared" si="45"/>
        <v>-447.58562106985539</v>
      </c>
      <c r="F628">
        <f t="shared" si="46"/>
        <v>1062.2498998638443</v>
      </c>
    </row>
    <row r="629" spans="2:6" x14ac:dyDescent="0.35">
      <c r="B629">
        <f t="shared" si="47"/>
        <v>218.69999999999769</v>
      </c>
      <c r="C629">
        <f t="shared" si="48"/>
        <v>-477.93999999999625</v>
      </c>
      <c r="D629">
        <f t="shared" si="49"/>
        <v>-180.3799999999998</v>
      </c>
      <c r="E629">
        <f t="shared" si="45"/>
        <v>-448.78942946554184</v>
      </c>
      <c r="F629">
        <f t="shared" si="46"/>
        <v>1068.2422863170757</v>
      </c>
    </row>
    <row r="630" spans="2:6" x14ac:dyDescent="0.35">
      <c r="B630">
        <f t="shared" si="47"/>
        <v>219.04999999999768</v>
      </c>
      <c r="C630">
        <f t="shared" si="48"/>
        <v>-478.70999999999623</v>
      </c>
      <c r="D630">
        <f t="shared" si="49"/>
        <v>-180.66999999999979</v>
      </c>
      <c r="E630">
        <f t="shared" si="45"/>
        <v>-387.75744736197146</v>
      </c>
      <c r="F630">
        <f t="shared" si="46"/>
        <v>948.54841354625069</v>
      </c>
    </row>
    <row r="631" spans="2:6" x14ac:dyDescent="0.35">
      <c r="B631">
        <f t="shared" si="47"/>
        <v>219.39999999999768</v>
      </c>
      <c r="C631">
        <f t="shared" si="48"/>
        <v>-479.47999999999621</v>
      </c>
      <c r="D631">
        <f t="shared" si="49"/>
        <v>-180.95999999999978</v>
      </c>
      <c r="E631">
        <f t="shared" si="45"/>
        <v>-256.61929527299372</v>
      </c>
      <c r="F631">
        <f t="shared" si="46"/>
        <v>726.03731824517433</v>
      </c>
    </row>
    <row r="632" spans="2:6" x14ac:dyDescent="0.35">
      <c r="B632">
        <f t="shared" si="47"/>
        <v>219.74999999999767</v>
      </c>
      <c r="C632">
        <f t="shared" si="48"/>
        <v>-480.24999999999619</v>
      </c>
      <c r="D632">
        <f t="shared" si="49"/>
        <v>-181.24999999999977</v>
      </c>
      <c r="E632">
        <f t="shared" si="45"/>
        <v>-59.883389615040585</v>
      </c>
      <c r="F632">
        <f t="shared" si="46"/>
        <v>436.34969164184963</v>
      </c>
    </row>
    <row r="633" spans="2:6" x14ac:dyDescent="0.35">
      <c r="B633">
        <f t="shared" si="47"/>
        <v>220.09999999999766</v>
      </c>
      <c r="C633">
        <f t="shared" si="48"/>
        <v>-481.01999999999617</v>
      </c>
      <c r="D633">
        <f t="shared" si="49"/>
        <v>-181.53999999999976</v>
      </c>
      <c r="E633">
        <f t="shared" si="45"/>
        <v>184.78425774395072</v>
      </c>
      <c r="F633">
        <f t="shared" si="46"/>
        <v>121.92239014276123</v>
      </c>
    </row>
    <row r="634" spans="2:6" x14ac:dyDescent="0.35">
      <c r="B634">
        <f t="shared" si="47"/>
        <v>220.44999999999766</v>
      </c>
      <c r="C634">
        <f t="shared" si="48"/>
        <v>-481.78999999999616</v>
      </c>
      <c r="D634">
        <f t="shared" si="49"/>
        <v>-181.82999999999976</v>
      </c>
      <c r="E634">
        <f t="shared" si="45"/>
        <v>448.22032308864891</v>
      </c>
      <c r="F634">
        <f t="shared" si="46"/>
        <v>-174.77107176957969</v>
      </c>
    </row>
    <row r="635" spans="2:6" x14ac:dyDescent="0.35">
      <c r="B635">
        <f t="shared" si="47"/>
        <v>220.79999999999765</v>
      </c>
      <c r="C635">
        <f t="shared" si="48"/>
        <v>-482.55999999999614</v>
      </c>
      <c r="D635">
        <f t="shared" si="49"/>
        <v>-182.11999999999975</v>
      </c>
      <c r="E635">
        <f t="shared" si="45"/>
        <v>693.69732868157598</v>
      </c>
      <c r="F635">
        <f t="shared" si="46"/>
        <v>-417.63423378578671</v>
      </c>
    </row>
    <row r="636" spans="2:6" x14ac:dyDescent="0.35">
      <c r="B636">
        <f t="shared" si="47"/>
        <v>221.14999999999765</v>
      </c>
      <c r="C636">
        <f t="shared" si="48"/>
        <v>-483.32999999999612</v>
      </c>
      <c r="D636">
        <f t="shared" si="49"/>
        <v>-182.40999999999974</v>
      </c>
      <c r="E636">
        <f t="shared" si="45"/>
        <v>882.54335215420383</v>
      </c>
      <c r="F636">
        <f t="shared" si="46"/>
        <v>-581.97436004237261</v>
      </c>
    </row>
    <row r="637" spans="2:6" x14ac:dyDescent="0.35">
      <c r="B637">
        <f t="shared" si="47"/>
        <v>221.49999999999764</v>
      </c>
      <c r="C637">
        <f t="shared" si="48"/>
        <v>-484.0999999999961</v>
      </c>
      <c r="D637">
        <f t="shared" si="49"/>
        <v>-182.69999999999973</v>
      </c>
      <c r="E637">
        <f t="shared" si="45"/>
        <v>980.53528617202096</v>
      </c>
      <c r="F637">
        <f t="shared" si="46"/>
        <v>-657.36542681356468</v>
      </c>
    </row>
    <row r="638" spans="2:6" x14ac:dyDescent="0.35">
      <c r="B638">
        <f t="shared" si="47"/>
        <v>221.84999999999764</v>
      </c>
      <c r="C638">
        <f t="shared" si="48"/>
        <v>-484.86999999999608</v>
      </c>
      <c r="D638">
        <f t="shared" si="49"/>
        <v>-182.98999999999972</v>
      </c>
      <c r="E638">
        <f t="shared" si="45"/>
        <v>963.97944528587641</v>
      </c>
      <c r="F638">
        <f t="shared" si="46"/>
        <v>-647.96346510473666</v>
      </c>
    </row>
    <row r="639" spans="2:6" x14ac:dyDescent="0.35">
      <c r="B639">
        <f t="shared" si="47"/>
        <v>222.19999999999763</v>
      </c>
      <c r="C639">
        <f t="shared" si="48"/>
        <v>-485.63999999999606</v>
      </c>
      <c r="D639">
        <f t="shared" si="49"/>
        <v>-183.27999999999972</v>
      </c>
      <c r="E639">
        <f t="shared" si="45"/>
        <v>824.40736476185816</v>
      </c>
      <c r="F639">
        <f t="shared" si="46"/>
        <v>-570.34118950255299</v>
      </c>
    </row>
    <row r="640" spans="2:6" x14ac:dyDescent="0.35">
      <c r="B640">
        <f t="shared" si="47"/>
        <v>222.54999999999762</v>
      </c>
      <c r="C640">
        <f t="shared" si="48"/>
        <v>-486.40999999999605</v>
      </c>
      <c r="D640">
        <f t="shared" si="49"/>
        <v>-183.56999999999971</v>
      </c>
      <c r="E640">
        <f t="shared" si="45"/>
        <v>571.017183853804</v>
      </c>
      <c r="F640">
        <f t="shared" si="46"/>
        <v>-449.33852286959166</v>
      </c>
    </row>
    <row r="641" spans="2:6" x14ac:dyDescent="0.35">
      <c r="B641">
        <f t="shared" si="47"/>
        <v>222.89999999999762</v>
      </c>
      <c r="C641">
        <f t="shared" si="48"/>
        <v>-487.17999999999603</v>
      </c>
      <c r="D641">
        <f t="shared" si="49"/>
        <v>-183.8599999999997</v>
      </c>
      <c r="E641">
        <f t="shared" si="45"/>
        <v>230.35019720292573</v>
      </c>
      <c r="F641">
        <f t="shared" si="46"/>
        <v>-312.75904122986913</v>
      </c>
    </row>
    <row r="642" spans="2:6" x14ac:dyDescent="0.35">
      <c r="B642">
        <f t="shared" si="47"/>
        <v>223.24999999999761</v>
      </c>
      <c r="C642">
        <f t="shared" si="48"/>
        <v>-487.94999999999601</v>
      </c>
      <c r="D642">
        <f t="shared" si="49"/>
        <v>-184.14999999999969</v>
      </c>
      <c r="E642">
        <f t="shared" si="45"/>
        <v>-156.85174086509221</v>
      </c>
      <c r="F642">
        <f t="shared" si="46"/>
        <v>-185.92200792523465</v>
      </c>
    </row>
    <row r="643" spans="2:6" x14ac:dyDescent="0.35">
      <c r="B643">
        <f t="shared" si="47"/>
        <v>223.59999999999761</v>
      </c>
      <c r="C643">
        <f t="shared" si="48"/>
        <v>-488.71999999999599</v>
      </c>
      <c r="D643">
        <f t="shared" si="49"/>
        <v>-184.43999999999969</v>
      </c>
      <c r="E643">
        <f t="shared" si="45"/>
        <v>-541.18671124629839</v>
      </c>
      <c r="F643">
        <f t="shared" si="46"/>
        <v>-87.075620919759444</v>
      </c>
    </row>
    <row r="644" spans="2:6" x14ac:dyDescent="0.35">
      <c r="B644">
        <f t="shared" si="47"/>
        <v>223.9499999999976</v>
      </c>
      <c r="C644">
        <f t="shared" si="48"/>
        <v>-489.48999999999597</v>
      </c>
      <c r="D644">
        <f t="shared" si="49"/>
        <v>-184.72999999999968</v>
      </c>
      <c r="E644">
        <f t="shared" si="45"/>
        <v>-871.69666470326615</v>
      </c>
      <c r="F644">
        <f t="shared" si="46"/>
        <v>-24.492196456994634</v>
      </c>
    </row>
    <row r="645" spans="2:6" x14ac:dyDescent="0.35">
      <c r="B645">
        <f t="shared" si="47"/>
        <v>224.2999999999976</v>
      </c>
      <c r="C645">
        <f t="shared" si="48"/>
        <v>-490.25999999999596</v>
      </c>
      <c r="D645">
        <f t="shared" si="49"/>
        <v>-185.01999999999967</v>
      </c>
      <c r="E645">
        <f t="shared" si="45"/>
        <v>-1103.4214405341877</v>
      </c>
      <c r="F645">
        <f t="shared" si="46"/>
        <v>4.264773649116762</v>
      </c>
    </row>
    <row r="646" spans="2:6" x14ac:dyDescent="0.35">
      <c r="B646">
        <f t="shared" si="47"/>
        <v>224.64999999999759</v>
      </c>
      <c r="C646">
        <f t="shared" si="48"/>
        <v>-491.02999999999594</v>
      </c>
      <c r="D646">
        <f t="shared" si="49"/>
        <v>-185.30999999999966</v>
      </c>
      <c r="E646">
        <f t="shared" si="45"/>
        <v>-1204.1944458965788</v>
      </c>
      <c r="F646">
        <f t="shared" si="46"/>
        <v>10.827615053459425</v>
      </c>
    </row>
    <row r="647" spans="2:6" x14ac:dyDescent="0.35">
      <c r="B647">
        <f t="shared" si="47"/>
        <v>224.99999999999758</v>
      </c>
      <c r="C647">
        <f t="shared" si="48"/>
        <v>-491.79999999999592</v>
      </c>
      <c r="D647">
        <f t="shared" si="49"/>
        <v>-185.59999999999965</v>
      </c>
      <c r="E647">
        <f t="shared" ref="E647:E706" si="50">(B647-C647)*COS(D647)+C647*COS((B647/C647-1)*D647)</f>
        <v>-1159.5786227928415</v>
      </c>
      <c r="F647">
        <f t="shared" ref="F647:F706" si="51">(B647-C647)*SIN(D647)+C647*SIN((B647/C647-1)*D647)</f>
        <v>12.616589343966069</v>
      </c>
    </row>
    <row r="648" spans="2:6" x14ac:dyDescent="0.35">
      <c r="B648">
        <f t="shared" ref="B648:B706" si="52">B647+$B$2</f>
        <v>225.34999999999758</v>
      </c>
      <c r="C648">
        <f t="shared" ref="C648:C706" si="53">C647+$B$3</f>
        <v>-492.5699999999959</v>
      </c>
      <c r="D648">
        <f t="shared" ref="D648:D706" si="54">D647+$B$4</f>
        <v>-185.88999999999965</v>
      </c>
      <c r="E648">
        <f t="shared" si="50"/>
        <v>-975.13417102737913</v>
      </c>
      <c r="F648">
        <f t="shared" si="51"/>
        <v>28.245409514964138</v>
      </c>
    </row>
    <row r="649" spans="2:6" x14ac:dyDescent="0.35">
      <c r="B649">
        <f t="shared" si="52"/>
        <v>225.69999999999757</v>
      </c>
      <c r="C649">
        <f t="shared" si="53"/>
        <v>-493.33999999999588</v>
      </c>
      <c r="D649">
        <f t="shared" si="54"/>
        <v>-186.17999999999964</v>
      </c>
      <c r="E649">
        <f t="shared" si="50"/>
        <v>-675.63979143601648</v>
      </c>
      <c r="F649">
        <f t="shared" si="51"/>
        <v>72.672743899382965</v>
      </c>
    </row>
    <row r="650" spans="2:6" x14ac:dyDescent="0.35">
      <c r="B650">
        <f t="shared" si="52"/>
        <v>226.04999999999757</v>
      </c>
      <c r="C650">
        <f t="shared" si="53"/>
        <v>-494.10999999999586</v>
      </c>
      <c r="D650">
        <f t="shared" si="54"/>
        <v>-186.46999999999963</v>
      </c>
      <c r="E650">
        <f t="shared" si="50"/>
        <v>-301.38479991074752</v>
      </c>
      <c r="F650">
        <f t="shared" si="51"/>
        <v>153.08275241039956</v>
      </c>
    </row>
    <row r="651" spans="2:6" x14ac:dyDescent="0.35">
      <c r="B651">
        <f t="shared" si="52"/>
        <v>226.39999999999756</v>
      </c>
      <c r="C651">
        <f t="shared" si="53"/>
        <v>-494.87999999999585</v>
      </c>
      <c r="D651">
        <f t="shared" si="54"/>
        <v>-186.75999999999962</v>
      </c>
      <c r="E651">
        <f t="shared" si="50"/>
        <v>97.87330125870939</v>
      </c>
      <c r="F651">
        <f t="shared" si="51"/>
        <v>266.34459974934447</v>
      </c>
    </row>
    <row r="652" spans="2:6" x14ac:dyDescent="0.35">
      <c r="B652">
        <f t="shared" si="52"/>
        <v>226.74999999999756</v>
      </c>
      <c r="C652">
        <f t="shared" si="53"/>
        <v>-495.64999999999583</v>
      </c>
      <c r="D652">
        <f t="shared" si="54"/>
        <v>-187.04999999999961</v>
      </c>
      <c r="E652">
        <f t="shared" si="50"/>
        <v>470.31305125373763</v>
      </c>
      <c r="F652">
        <f t="shared" si="51"/>
        <v>398.60768714318249</v>
      </c>
    </row>
    <row r="653" spans="2:6" x14ac:dyDescent="0.35">
      <c r="B653">
        <f t="shared" si="52"/>
        <v>227.09999999999755</v>
      </c>
      <c r="C653">
        <f t="shared" si="53"/>
        <v>-496.41999999999581</v>
      </c>
      <c r="D653">
        <f t="shared" si="54"/>
        <v>-187.33999999999961</v>
      </c>
      <c r="E653">
        <f t="shared" si="50"/>
        <v>769.62712902622525</v>
      </c>
      <c r="F653">
        <f t="shared" si="51"/>
        <v>527.18855100477117</v>
      </c>
    </row>
    <row r="654" spans="2:6" x14ac:dyDescent="0.35">
      <c r="B654">
        <f t="shared" si="52"/>
        <v>227.44999999999754</v>
      </c>
      <c r="C654">
        <f t="shared" si="53"/>
        <v>-497.18999999999579</v>
      </c>
      <c r="D654">
        <f t="shared" si="54"/>
        <v>-187.6299999999996</v>
      </c>
      <c r="E654">
        <f t="shared" si="50"/>
        <v>961.57019957106286</v>
      </c>
      <c r="F654">
        <f t="shared" si="51"/>
        <v>624.46931679230227</v>
      </c>
    </row>
    <row r="655" spans="2:6" x14ac:dyDescent="0.35">
      <c r="B655">
        <f t="shared" si="52"/>
        <v>227.79999999999754</v>
      </c>
      <c r="C655">
        <f t="shared" si="53"/>
        <v>-497.95999999999577</v>
      </c>
      <c r="D655">
        <f t="shared" si="54"/>
        <v>-187.91999999999959</v>
      </c>
      <c r="E655">
        <f t="shared" si="50"/>
        <v>1028.4571103174067</v>
      </c>
      <c r="F655">
        <f t="shared" si="51"/>
        <v>663.13557364499025</v>
      </c>
    </row>
    <row r="656" spans="2:6" x14ac:dyDescent="0.35">
      <c r="B656">
        <f t="shared" si="52"/>
        <v>228.14999999999753</v>
      </c>
      <c r="C656">
        <f t="shared" si="53"/>
        <v>-498.72999999999575</v>
      </c>
      <c r="D656">
        <f t="shared" si="54"/>
        <v>-188.20999999999958</v>
      </c>
      <c r="E656">
        <f t="shared" si="50"/>
        <v>970.94520235442701</v>
      </c>
      <c r="F656">
        <f t="shared" si="51"/>
        <v>621.80569386916079</v>
      </c>
    </row>
    <row r="657" spans="2:6" x14ac:dyDescent="0.35">
      <c r="B657">
        <f t="shared" si="52"/>
        <v>228.49999999999753</v>
      </c>
      <c r="C657">
        <f t="shared" si="53"/>
        <v>-499.49999999999574</v>
      </c>
      <c r="D657">
        <f t="shared" si="54"/>
        <v>-188.49999999999957</v>
      </c>
      <c r="E657">
        <f t="shared" si="50"/>
        <v>806.89487019023261</v>
      </c>
      <c r="F657">
        <f t="shared" si="51"/>
        <v>489.99598795477328</v>
      </c>
    </row>
    <row r="658" spans="2:6" x14ac:dyDescent="0.35">
      <c r="B658">
        <f t="shared" si="52"/>
        <v>228.84999999999752</v>
      </c>
      <c r="C658">
        <f t="shared" si="53"/>
        <v>-500.26999999999572</v>
      </c>
      <c r="D658">
        <f t="shared" si="54"/>
        <v>-188.78999999999957</v>
      </c>
      <c r="E658">
        <f t="shared" si="50"/>
        <v>567.59074160091609</v>
      </c>
      <c r="F658">
        <f t="shared" si="51"/>
        <v>271.44910114489454</v>
      </c>
    </row>
    <row r="659" spans="2:6" x14ac:dyDescent="0.35">
      <c r="B659">
        <f t="shared" si="52"/>
        <v>229.19999999999752</v>
      </c>
      <c r="C659">
        <f t="shared" si="53"/>
        <v>-501.0399999999957</v>
      </c>
      <c r="D659">
        <f t="shared" si="54"/>
        <v>-189.07999999999956</v>
      </c>
      <c r="E659">
        <f t="shared" si="50"/>
        <v>292.03829422227892</v>
      </c>
      <c r="F659">
        <f t="shared" si="51"/>
        <v>-14.884710053274887</v>
      </c>
    </row>
    <row r="660" spans="2:6" x14ac:dyDescent="0.35">
      <c r="B660">
        <f t="shared" si="52"/>
        <v>229.54999999999751</v>
      </c>
      <c r="C660">
        <f t="shared" si="53"/>
        <v>-501.80999999999568</v>
      </c>
      <c r="D660">
        <f t="shared" si="54"/>
        <v>-189.36999999999955</v>
      </c>
      <c r="E660">
        <f t="shared" si="50"/>
        <v>20.353907591083669</v>
      </c>
      <c r="F660">
        <f t="shared" si="51"/>
        <v>-336.52595024009884</v>
      </c>
    </row>
    <row r="661" spans="2:6" x14ac:dyDescent="0.35">
      <c r="B661">
        <f t="shared" si="52"/>
        <v>229.8999999999975</v>
      </c>
      <c r="C661">
        <f t="shared" si="53"/>
        <v>-502.57999999999566</v>
      </c>
      <c r="D661">
        <f t="shared" si="54"/>
        <v>-189.65999999999954</v>
      </c>
      <c r="E661">
        <f t="shared" si="50"/>
        <v>-212.61029519543803</v>
      </c>
      <c r="F661">
        <f t="shared" si="51"/>
        <v>-651.65140230960048</v>
      </c>
    </row>
    <row r="662" spans="2:6" x14ac:dyDescent="0.35">
      <c r="B662">
        <f t="shared" si="52"/>
        <v>230.2499999999975</v>
      </c>
      <c r="C662">
        <f t="shared" si="53"/>
        <v>-503.34999999999565</v>
      </c>
      <c r="D662">
        <f t="shared" si="54"/>
        <v>-189.94999999999953</v>
      </c>
      <c r="E662">
        <f t="shared" si="50"/>
        <v>-382.34089531820592</v>
      </c>
      <c r="F662">
        <f t="shared" si="51"/>
        <v>-915.18339021683812</v>
      </c>
    </row>
    <row r="663" spans="2:6" x14ac:dyDescent="0.35">
      <c r="B663">
        <f t="shared" si="52"/>
        <v>230.59999999999749</v>
      </c>
      <c r="C663">
        <f t="shared" si="53"/>
        <v>-504.11999999999563</v>
      </c>
      <c r="D663">
        <f t="shared" si="54"/>
        <v>-190.23999999999953</v>
      </c>
      <c r="E663">
        <f t="shared" si="50"/>
        <v>-477.62942171593602</v>
      </c>
      <c r="F663">
        <f t="shared" si="51"/>
        <v>-1085.8226739385916</v>
      </c>
    </row>
    <row r="664" spans="2:6" x14ac:dyDescent="0.35">
      <c r="B664">
        <f t="shared" si="52"/>
        <v>230.94999999999749</v>
      </c>
      <c r="C664">
        <f t="shared" si="53"/>
        <v>-504.88999999999561</v>
      </c>
      <c r="D664">
        <f t="shared" si="54"/>
        <v>-190.52999999999952</v>
      </c>
      <c r="E664">
        <f t="shared" si="50"/>
        <v>-501.01669666445207</v>
      </c>
      <c r="F664">
        <f t="shared" si="51"/>
        <v>-1132.8669518539464</v>
      </c>
    </row>
    <row r="665" spans="2:6" x14ac:dyDescent="0.35">
      <c r="B665">
        <f t="shared" si="52"/>
        <v>231.29999999999748</v>
      </c>
      <c r="C665">
        <f t="shared" si="53"/>
        <v>-505.65999999999559</v>
      </c>
      <c r="D665">
        <f t="shared" si="54"/>
        <v>-190.81999999999951</v>
      </c>
      <c r="E665">
        <f t="shared" si="50"/>
        <v>-466.7598185037179</v>
      </c>
      <c r="F665">
        <f t="shared" si="51"/>
        <v>-1041.6555022378354</v>
      </c>
    </row>
    <row r="666" spans="2:6" x14ac:dyDescent="0.35">
      <c r="B666">
        <f t="shared" si="52"/>
        <v>231.64999999999748</v>
      </c>
      <c r="C666">
        <f t="shared" si="53"/>
        <v>-506.42999999999557</v>
      </c>
      <c r="D666">
        <f t="shared" si="54"/>
        <v>-191.1099999999995</v>
      </c>
      <c r="E666">
        <f t="shared" si="50"/>
        <v>-396.80727814135685</v>
      </c>
      <c r="F666">
        <f t="shared" si="51"/>
        <v>-816.67933028421407</v>
      </c>
    </row>
    <row r="667" spans="2:6" x14ac:dyDescent="0.35">
      <c r="B667">
        <f t="shared" si="52"/>
        <v>231.99999999999747</v>
      </c>
      <c r="C667">
        <f t="shared" si="53"/>
        <v>-507.19999999999555</v>
      </c>
      <c r="D667">
        <f t="shared" si="54"/>
        <v>-191.39999999999949</v>
      </c>
      <c r="E667">
        <f t="shared" si="50"/>
        <v>-315.61339100029721</v>
      </c>
      <c r="F667">
        <f t="shared" si="51"/>
        <v>-481.76423720757157</v>
      </c>
    </row>
    <row r="668" spans="2:6" x14ac:dyDescent="0.35">
      <c r="B668">
        <f t="shared" si="52"/>
        <v>232.34999999999746</v>
      </c>
      <c r="C668">
        <f t="shared" si="53"/>
        <v>-507.96999999999554</v>
      </c>
      <c r="D668">
        <f t="shared" si="54"/>
        <v>-191.68999999999949</v>
      </c>
      <c r="E668">
        <f t="shared" si="50"/>
        <v>-244.81306844979366</v>
      </c>
      <c r="F668">
        <f t="shared" si="51"/>
        <v>-77.21063563788843</v>
      </c>
    </row>
    <row r="669" spans="2:6" x14ac:dyDescent="0.35">
      <c r="B669">
        <f t="shared" si="52"/>
        <v>232.69999999999746</v>
      </c>
      <c r="C669">
        <f t="shared" si="53"/>
        <v>-508.73999999999552</v>
      </c>
      <c r="D669">
        <f t="shared" si="54"/>
        <v>-191.97999999999948</v>
      </c>
      <c r="E669">
        <f t="shared" si="50"/>
        <v>-198.77948655878566</v>
      </c>
      <c r="F669">
        <f t="shared" si="51"/>
        <v>345.72162788454523</v>
      </c>
    </row>
    <row r="670" spans="2:6" x14ac:dyDescent="0.35">
      <c r="B670">
        <f t="shared" si="52"/>
        <v>233.04999999999745</v>
      </c>
      <c r="C670">
        <f t="shared" si="53"/>
        <v>-509.5099999999955</v>
      </c>
      <c r="D670">
        <f t="shared" si="54"/>
        <v>-192.26999999999947</v>
      </c>
      <c r="E670">
        <f t="shared" si="50"/>
        <v>-181.90174697747369</v>
      </c>
      <c r="F670">
        <f t="shared" si="51"/>
        <v>732.1487204078303</v>
      </c>
    </row>
    <row r="671" spans="2:6" x14ac:dyDescent="0.35">
      <c r="B671">
        <f t="shared" si="52"/>
        <v>233.39999999999745</v>
      </c>
      <c r="C671">
        <f t="shared" si="53"/>
        <v>-510.27999999999548</v>
      </c>
      <c r="D671">
        <f t="shared" si="54"/>
        <v>-192.55999999999946</v>
      </c>
      <c r="E671">
        <f t="shared" si="50"/>
        <v>-188.08194890305583</v>
      </c>
      <c r="F671">
        <f t="shared" si="51"/>
        <v>1031.5721314301609</v>
      </c>
    </row>
    <row r="672" spans="2:6" x14ac:dyDescent="0.35">
      <c r="B672">
        <f t="shared" si="52"/>
        <v>233.74999999999744</v>
      </c>
      <c r="C672">
        <f t="shared" si="53"/>
        <v>-511.04999999999546</v>
      </c>
      <c r="D672">
        <f t="shared" si="54"/>
        <v>-192.84999999999945</v>
      </c>
      <c r="E672">
        <f t="shared" si="50"/>
        <v>-202.52322069882544</v>
      </c>
      <c r="F672">
        <f t="shared" si="51"/>
        <v>1205.2927605044167</v>
      </c>
    </row>
    <row r="673" spans="2:6" x14ac:dyDescent="0.35">
      <c r="B673">
        <f t="shared" si="52"/>
        <v>234.09999999999744</v>
      </c>
      <c r="C673">
        <f t="shared" si="53"/>
        <v>-511.81999999999545</v>
      </c>
      <c r="D673">
        <f t="shared" si="54"/>
        <v>-193.13999999999945</v>
      </c>
      <c r="E673">
        <f t="shared" si="50"/>
        <v>-205.44037339881737</v>
      </c>
      <c r="F673">
        <f t="shared" si="51"/>
        <v>1232.0491929039786</v>
      </c>
    </row>
    <row r="674" spans="2:6" x14ac:dyDescent="0.35">
      <c r="B674">
        <f t="shared" si="52"/>
        <v>234.44999999999743</v>
      </c>
      <c r="C674">
        <f t="shared" si="53"/>
        <v>-512.58999999999548</v>
      </c>
      <c r="D674">
        <f t="shared" si="54"/>
        <v>-193.42999999999944</v>
      </c>
      <c r="E674">
        <f t="shared" si="50"/>
        <v>-176.95331733709284</v>
      </c>
      <c r="F674">
        <f t="shared" si="51"/>
        <v>1110.9853152737223</v>
      </c>
    </row>
    <row r="675" spans="2:6" x14ac:dyDescent="0.35">
      <c r="B675">
        <f t="shared" si="52"/>
        <v>234.79999999999742</v>
      </c>
      <c r="C675">
        <f t="shared" si="53"/>
        <v>-513.35999999999547</v>
      </c>
      <c r="D675">
        <f t="shared" si="54"/>
        <v>-193.71999999999943</v>
      </c>
      <c r="E675">
        <f t="shared" si="50"/>
        <v>-102.18843602060701</v>
      </c>
      <c r="F675">
        <f t="shared" si="51"/>
        <v>861.4876867410926</v>
      </c>
    </row>
    <row r="676" spans="2:6" x14ac:dyDescent="0.35">
      <c r="B676">
        <f t="shared" si="52"/>
        <v>235.14999999999742</v>
      </c>
      <c r="C676">
        <f t="shared" si="53"/>
        <v>-514.12999999999545</v>
      </c>
      <c r="D676">
        <f t="shared" si="54"/>
        <v>-194.00999999999942</v>
      </c>
      <c r="E676">
        <f t="shared" si="50"/>
        <v>24.441473735888167</v>
      </c>
      <c r="F676">
        <f t="shared" si="51"/>
        <v>519.94444886952977</v>
      </c>
    </row>
    <row r="677" spans="2:6" x14ac:dyDescent="0.35">
      <c r="B677">
        <f t="shared" si="52"/>
        <v>235.49999999999741</v>
      </c>
      <c r="C677">
        <f t="shared" si="53"/>
        <v>-514.89999999999543</v>
      </c>
      <c r="D677">
        <f t="shared" si="54"/>
        <v>-194.29999999999941</v>
      </c>
      <c r="E677">
        <f t="shared" si="50"/>
        <v>196.67088449794653</v>
      </c>
      <c r="F677">
        <f t="shared" si="51"/>
        <v>133.97852965840823</v>
      </c>
    </row>
    <row r="678" spans="2:6" x14ac:dyDescent="0.35">
      <c r="B678">
        <f t="shared" si="52"/>
        <v>235.84999999999741</v>
      </c>
      <c r="C678">
        <f t="shared" si="53"/>
        <v>-515.66999999999541</v>
      </c>
      <c r="D678">
        <f t="shared" si="54"/>
        <v>-194.58999999999941</v>
      </c>
      <c r="E678">
        <f t="shared" si="50"/>
        <v>396.1151969529825</v>
      </c>
      <c r="F678">
        <f t="shared" si="51"/>
        <v>-244.88621561843226</v>
      </c>
    </row>
    <row r="679" spans="2:6" x14ac:dyDescent="0.35">
      <c r="B679">
        <f t="shared" si="52"/>
        <v>236.1999999999974</v>
      </c>
      <c r="C679">
        <f t="shared" si="53"/>
        <v>-516.43999999999539</v>
      </c>
      <c r="D679">
        <f t="shared" si="54"/>
        <v>-194.8799999999994</v>
      </c>
      <c r="E679">
        <f t="shared" si="50"/>
        <v>594.47006036651055</v>
      </c>
      <c r="F679">
        <f t="shared" si="51"/>
        <v>-568.9247551804508</v>
      </c>
    </row>
    <row r="680" spans="2:6" x14ac:dyDescent="0.35">
      <c r="B680">
        <f t="shared" si="52"/>
        <v>236.5499999999974</v>
      </c>
      <c r="C680">
        <f t="shared" si="53"/>
        <v>-517.20999999999538</v>
      </c>
      <c r="D680">
        <f t="shared" si="54"/>
        <v>-195.16999999999939</v>
      </c>
      <c r="E680">
        <f t="shared" si="50"/>
        <v>757.88158862052046</v>
      </c>
      <c r="F680">
        <f t="shared" si="51"/>
        <v>-801.03627841391676</v>
      </c>
    </row>
    <row r="681" spans="2:6" x14ac:dyDescent="0.35">
      <c r="B681">
        <f t="shared" si="52"/>
        <v>236.89999999999739</v>
      </c>
      <c r="C681">
        <f t="shared" si="53"/>
        <v>-517.97999999999536</v>
      </c>
      <c r="D681">
        <f t="shared" si="54"/>
        <v>-195.45999999999938</v>
      </c>
      <c r="E681">
        <f t="shared" si="50"/>
        <v>852.77552216976642</v>
      </c>
      <c r="F681">
        <f t="shared" si="51"/>
        <v>-919.624421566097</v>
      </c>
    </row>
    <row r="682" spans="2:6" x14ac:dyDescent="0.35">
      <c r="B682">
        <f t="shared" si="52"/>
        <v>237.24999999999739</v>
      </c>
      <c r="C682">
        <f t="shared" si="53"/>
        <v>-518.74999999999534</v>
      </c>
      <c r="D682">
        <f t="shared" si="54"/>
        <v>-195.74999999999937</v>
      </c>
      <c r="E682">
        <f t="shared" si="50"/>
        <v>852.13577593316711</v>
      </c>
      <c r="F682">
        <f t="shared" si="51"/>
        <v>-920.80863137400502</v>
      </c>
    </row>
    <row r="683" spans="2:6" x14ac:dyDescent="0.35">
      <c r="B683">
        <f t="shared" si="52"/>
        <v>237.59999999999738</v>
      </c>
      <c r="C683">
        <f t="shared" si="53"/>
        <v>-519.51999999999532</v>
      </c>
      <c r="D683">
        <f t="shared" si="54"/>
        <v>-196.03999999999937</v>
      </c>
      <c r="E683">
        <f t="shared" si="50"/>
        <v>741.10067079567943</v>
      </c>
      <c r="F683">
        <f t="shared" si="51"/>
        <v>-817.7066158597745</v>
      </c>
    </row>
    <row r="684" spans="2:6" x14ac:dyDescent="0.35">
      <c r="B684">
        <f t="shared" si="52"/>
        <v>237.94999999999737</v>
      </c>
      <c r="C684">
        <f t="shared" si="53"/>
        <v>-520.2899999999953</v>
      </c>
      <c r="D684">
        <f t="shared" si="54"/>
        <v>-196.32999999999936</v>
      </c>
      <c r="E684">
        <f t="shared" si="50"/>
        <v>520.82380670390637</v>
      </c>
      <c r="F684">
        <f t="shared" si="51"/>
        <v>-637.02711468029861</v>
      </c>
    </row>
    <row r="685" spans="2:6" x14ac:dyDescent="0.35">
      <c r="B685">
        <f t="shared" si="52"/>
        <v>238.29999999999737</v>
      </c>
      <c r="C685">
        <f t="shared" si="53"/>
        <v>-521.05999999999528</v>
      </c>
      <c r="D685">
        <f t="shared" si="54"/>
        <v>-196.61999999999935</v>
      </c>
      <c r="E685">
        <f t="shared" si="50"/>
        <v>209.81595152696386</v>
      </c>
      <c r="F685">
        <f t="shared" si="51"/>
        <v>-413.66073604156111</v>
      </c>
    </row>
    <row r="686" spans="2:6" x14ac:dyDescent="0.35">
      <c r="B686">
        <f t="shared" si="52"/>
        <v>238.64999999999736</v>
      </c>
      <c r="C686">
        <f t="shared" si="53"/>
        <v>-521.82999999999527</v>
      </c>
      <c r="D686">
        <f t="shared" si="54"/>
        <v>-196.90999999999934</v>
      </c>
      <c r="E686">
        <f t="shared" si="50"/>
        <v>-157.5995429869763</v>
      </c>
      <c r="F686">
        <f t="shared" si="51"/>
        <v>-184.27745984503417</v>
      </c>
    </row>
    <row r="687" spans="2:6" x14ac:dyDescent="0.35">
      <c r="B687">
        <f t="shared" si="52"/>
        <v>238.99999999999736</v>
      </c>
      <c r="C687">
        <f t="shared" si="53"/>
        <v>-522.59999999999525</v>
      </c>
      <c r="D687">
        <f t="shared" si="54"/>
        <v>-197.19999999999933</v>
      </c>
      <c r="E687">
        <f t="shared" si="50"/>
        <v>-535.59304768033678</v>
      </c>
      <c r="F687">
        <f t="shared" si="51"/>
        <v>18.921411629498721</v>
      </c>
    </row>
    <row r="688" spans="2:6" x14ac:dyDescent="0.35">
      <c r="B688">
        <f t="shared" si="52"/>
        <v>239.34999999999735</v>
      </c>
      <c r="C688">
        <f t="shared" si="53"/>
        <v>-523.36999999999523</v>
      </c>
      <c r="D688">
        <f t="shared" si="54"/>
        <v>-197.48999999999933</v>
      </c>
      <c r="E688">
        <f t="shared" si="50"/>
        <v>-873.28864477905211</v>
      </c>
      <c r="F688">
        <f t="shared" si="51"/>
        <v>173.21336060097985</v>
      </c>
    </row>
    <row r="689" spans="2:6" x14ac:dyDescent="0.35">
      <c r="B689">
        <f t="shared" si="52"/>
        <v>239.69999999999735</v>
      </c>
      <c r="C689">
        <f t="shared" si="53"/>
        <v>-524.13999999999521</v>
      </c>
      <c r="D689">
        <f t="shared" si="54"/>
        <v>-197.77999999999932</v>
      </c>
      <c r="E689">
        <f t="shared" si="50"/>
        <v>-1122.380109295415</v>
      </c>
      <c r="F689">
        <f t="shared" si="51"/>
        <v>268.29700432321488</v>
      </c>
    </row>
    <row r="690" spans="2:6" x14ac:dyDescent="0.35">
      <c r="B690">
        <f t="shared" si="52"/>
        <v>240.04999999999734</v>
      </c>
      <c r="C690">
        <f t="shared" si="53"/>
        <v>-524.90999999999519</v>
      </c>
      <c r="D690">
        <f t="shared" si="54"/>
        <v>-198.06999999999931</v>
      </c>
      <c r="E690">
        <f t="shared" si="50"/>
        <v>-1244.6786593298395</v>
      </c>
      <c r="F690">
        <f t="shared" si="51"/>
        <v>306.73265517888871</v>
      </c>
    </row>
    <row r="691" spans="2:6" x14ac:dyDescent="0.35">
      <c r="B691">
        <f t="shared" si="52"/>
        <v>240.39999999999733</v>
      </c>
      <c r="C691">
        <f t="shared" si="53"/>
        <v>-525.67999999999518</v>
      </c>
      <c r="D691">
        <f t="shared" si="54"/>
        <v>-198.3599999999993</v>
      </c>
      <c r="E691">
        <f t="shared" si="50"/>
        <v>-1218.34678622464</v>
      </c>
      <c r="F691">
        <f t="shared" si="51"/>
        <v>301.91290120544744</v>
      </c>
    </row>
    <row r="692" spans="2:6" x14ac:dyDescent="0.35">
      <c r="B692">
        <f t="shared" si="52"/>
        <v>240.74999999999733</v>
      </c>
      <c r="C692">
        <f t="shared" si="53"/>
        <v>-526.44999999999516</v>
      </c>
      <c r="D692">
        <f t="shared" si="54"/>
        <v>-198.6499999999993</v>
      </c>
      <c r="E692">
        <f t="shared" si="50"/>
        <v>-1041.7629218842999</v>
      </c>
      <c r="F692">
        <f t="shared" si="51"/>
        <v>274.04698166891376</v>
      </c>
    </row>
    <row r="693" spans="2:6" x14ac:dyDescent="0.35">
      <c r="B693">
        <f t="shared" si="52"/>
        <v>241.09999999999732</v>
      </c>
      <c r="C693">
        <f t="shared" si="53"/>
        <v>-527.21999999999514</v>
      </c>
      <c r="D693">
        <f t="shared" si="54"/>
        <v>-198.93999999999929</v>
      </c>
      <c r="E693">
        <f t="shared" si="50"/>
        <v>-734.33428214243486</v>
      </c>
      <c r="F693">
        <f t="shared" si="51"/>
        <v>244.99986074252615</v>
      </c>
    </row>
    <row r="694" spans="2:6" x14ac:dyDescent="0.35">
      <c r="B694">
        <f t="shared" si="52"/>
        <v>241.44999999999732</v>
      </c>
      <c r="C694">
        <f t="shared" si="53"/>
        <v>-527.98999999999512</v>
      </c>
      <c r="D694">
        <f t="shared" si="54"/>
        <v>-199.22999999999928</v>
      </c>
      <c r="E694">
        <f t="shared" si="50"/>
        <v>-334.06841422411458</v>
      </c>
      <c r="F694">
        <f t="shared" si="51"/>
        <v>233.02559074581313</v>
      </c>
    </row>
    <row r="695" spans="2:6" x14ac:dyDescent="0.35">
      <c r="B695">
        <f t="shared" si="52"/>
        <v>241.79999999999731</v>
      </c>
      <c r="C695">
        <f t="shared" si="53"/>
        <v>-528.7599999999951</v>
      </c>
      <c r="D695">
        <f t="shared" si="54"/>
        <v>-199.51999999999927</v>
      </c>
      <c r="E695">
        <f t="shared" si="50"/>
        <v>107.75507451330833</v>
      </c>
      <c r="F695">
        <f t="shared" si="51"/>
        <v>248.43982401870289</v>
      </c>
    </row>
    <row r="696" spans="2:6" x14ac:dyDescent="0.35">
      <c r="B696">
        <f t="shared" si="52"/>
        <v>242.14999999999731</v>
      </c>
      <c r="C696">
        <f t="shared" si="53"/>
        <v>-529.52999999999508</v>
      </c>
      <c r="D696">
        <f t="shared" si="54"/>
        <v>-199.80999999999926</v>
      </c>
      <c r="E696">
        <f t="shared" si="50"/>
        <v>533.99238630844536</v>
      </c>
      <c r="F696">
        <f t="shared" si="51"/>
        <v>291.08802111378645</v>
      </c>
    </row>
    <row r="697" spans="2:6" x14ac:dyDescent="0.35">
      <c r="B697">
        <f t="shared" si="52"/>
        <v>242.4999999999973</v>
      </c>
      <c r="C697">
        <f t="shared" si="53"/>
        <v>-530.29999999999507</v>
      </c>
      <c r="D697">
        <f t="shared" si="54"/>
        <v>-200.09999999999926</v>
      </c>
      <c r="E697">
        <f t="shared" si="50"/>
        <v>889.95781540023654</v>
      </c>
      <c r="F697">
        <f t="shared" si="51"/>
        <v>350.11869789484501</v>
      </c>
    </row>
    <row r="698" spans="2:6" x14ac:dyDescent="0.35">
      <c r="B698">
        <f t="shared" si="52"/>
        <v>242.84999999999729</v>
      </c>
      <c r="C698">
        <f t="shared" si="53"/>
        <v>-531.06999999999505</v>
      </c>
      <c r="D698">
        <f t="shared" si="54"/>
        <v>-200.38999999999925</v>
      </c>
      <c r="E698">
        <f t="shared" si="50"/>
        <v>1131.3431201261146</v>
      </c>
      <c r="F698">
        <f t="shared" si="51"/>
        <v>406.12831482455221</v>
      </c>
    </row>
    <row r="699" spans="2:6" x14ac:dyDescent="0.35">
      <c r="B699">
        <f t="shared" si="52"/>
        <v>243.19999999999729</v>
      </c>
      <c r="C699">
        <f t="shared" si="53"/>
        <v>-531.83999999999503</v>
      </c>
      <c r="D699">
        <f t="shared" si="54"/>
        <v>-200.67999999999924</v>
      </c>
      <c r="E699">
        <f t="shared" si="50"/>
        <v>1230.4836099662562</v>
      </c>
      <c r="F699">
        <f t="shared" si="51"/>
        <v>435.28689233553365</v>
      </c>
    </row>
    <row r="700" spans="2:6" x14ac:dyDescent="0.35">
      <c r="B700">
        <f t="shared" si="52"/>
        <v>243.54999999999728</v>
      </c>
      <c r="C700">
        <f t="shared" si="53"/>
        <v>-532.60999999999501</v>
      </c>
      <c r="D700">
        <f t="shared" si="54"/>
        <v>-200.96999999999923</v>
      </c>
      <c r="E700">
        <f t="shared" si="50"/>
        <v>1179.9954511884066</v>
      </c>
      <c r="F700">
        <f t="shared" si="51"/>
        <v>414.66488135759425</v>
      </c>
    </row>
    <row r="701" spans="2:6" x14ac:dyDescent="0.35">
      <c r="B701">
        <f t="shared" si="52"/>
        <v>243.89999999999728</v>
      </c>
      <c r="C701">
        <f t="shared" si="53"/>
        <v>-533.37999999999499</v>
      </c>
      <c r="D701">
        <f t="shared" si="54"/>
        <v>-201.25999999999922</v>
      </c>
      <c r="E701">
        <f t="shared" si="50"/>
        <v>993.24479169152221</v>
      </c>
      <c r="F701">
        <f t="shared" si="51"/>
        <v>327.73397756572672</v>
      </c>
    </row>
    <row r="702" spans="2:6" x14ac:dyDescent="0.35">
      <c r="B702">
        <f t="shared" si="52"/>
        <v>244.24999999999727</v>
      </c>
      <c r="C702">
        <f t="shared" si="53"/>
        <v>-534.14999999999498</v>
      </c>
      <c r="D702">
        <f t="shared" si="54"/>
        <v>-201.54999999999922</v>
      </c>
      <c r="E702">
        <f t="shared" si="50"/>
        <v>701.63237581874296</v>
      </c>
      <c r="F702">
        <f t="shared" si="51"/>
        <v>168.95428385865551</v>
      </c>
    </row>
    <row r="703" spans="2:6" x14ac:dyDescent="0.35">
      <c r="B703">
        <f t="shared" si="52"/>
        <v>244.59999999999727</v>
      </c>
      <c r="C703">
        <f t="shared" si="53"/>
        <v>-534.91999999999496</v>
      </c>
      <c r="D703">
        <f t="shared" si="54"/>
        <v>-201.83999999999921</v>
      </c>
      <c r="E703">
        <f t="shared" si="50"/>
        <v>349.19838892007169</v>
      </c>
      <c r="F703">
        <f t="shared" si="51"/>
        <v>-53.499110487039047</v>
      </c>
    </row>
    <row r="704" spans="2:6" x14ac:dyDescent="0.35">
      <c r="B704">
        <f t="shared" si="52"/>
        <v>244.94999999999726</v>
      </c>
      <c r="C704">
        <f t="shared" si="53"/>
        <v>-535.68999999999494</v>
      </c>
      <c r="D704">
        <f t="shared" si="54"/>
        <v>-202.1299999999992</v>
      </c>
      <c r="E704">
        <f t="shared" si="50"/>
        <v>-14.516999809081028</v>
      </c>
      <c r="F704">
        <f t="shared" si="51"/>
        <v>-317.49815244314328</v>
      </c>
    </row>
    <row r="705" spans="2:6" x14ac:dyDescent="0.35">
      <c r="B705">
        <f t="shared" si="52"/>
        <v>245.29999999999725</v>
      </c>
      <c r="C705">
        <f t="shared" si="53"/>
        <v>-536.45999999999492</v>
      </c>
      <c r="D705">
        <f t="shared" si="54"/>
        <v>-202.41999999999919</v>
      </c>
      <c r="E705">
        <f t="shared" si="50"/>
        <v>-342.15399164762789</v>
      </c>
      <c r="F705">
        <f t="shared" si="51"/>
        <v>-589.39833470101132</v>
      </c>
    </row>
    <row r="706" spans="2:6" x14ac:dyDescent="0.35">
      <c r="B706">
        <f t="shared" si="52"/>
        <v>245.64999999999725</v>
      </c>
      <c r="C706">
        <f t="shared" si="53"/>
        <v>-537.2299999999949</v>
      </c>
      <c r="D706">
        <f t="shared" si="54"/>
        <v>-202.70999999999918</v>
      </c>
      <c r="E706">
        <f t="shared" si="50"/>
        <v>-595.48994611818557</v>
      </c>
      <c r="F706">
        <f t="shared" si="51"/>
        <v>-828.84805337045486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ScrollBar1">
          <controlPr defaultSize="0" autoLine="0" linkedCell="$G$2" r:id="rId5">
            <anchor moveWithCells="1">
              <from>
                <xdr:col>2</xdr:col>
                <xdr:colOff>19050</xdr:colOff>
                <xdr:row>1</xdr:row>
                <xdr:rowOff>12700</xdr:rowOff>
              </from>
              <to>
                <xdr:col>5</xdr:col>
                <xdr:colOff>603250</xdr:colOff>
                <xdr:row>2</xdr:row>
                <xdr:rowOff>6350</xdr:rowOff>
              </to>
            </anchor>
          </controlPr>
        </control>
      </mc:Choice>
      <mc:Fallback>
        <control shapeId="3073" r:id="rId4" name="ScrollBar1"/>
      </mc:Fallback>
    </mc:AlternateContent>
    <mc:AlternateContent xmlns:mc="http://schemas.openxmlformats.org/markup-compatibility/2006">
      <mc:Choice Requires="x14">
        <control shapeId="3074" r:id="rId6" name="ScrollBar2">
          <controlPr defaultSize="0" autoLine="0" linkedCell="$G$3" r:id="rId7">
            <anchor moveWithCells="1">
              <from>
                <xdr:col>2</xdr:col>
                <xdr:colOff>19050</xdr:colOff>
                <xdr:row>2</xdr:row>
                <xdr:rowOff>31750</xdr:rowOff>
              </from>
              <to>
                <xdr:col>5</xdr:col>
                <xdr:colOff>603250</xdr:colOff>
                <xdr:row>3</xdr:row>
                <xdr:rowOff>25400</xdr:rowOff>
              </to>
            </anchor>
          </controlPr>
        </control>
      </mc:Choice>
      <mc:Fallback>
        <control shapeId="3074" r:id="rId6" name="ScrollBar2"/>
      </mc:Fallback>
    </mc:AlternateContent>
    <mc:AlternateContent xmlns:mc="http://schemas.openxmlformats.org/markup-compatibility/2006">
      <mc:Choice Requires="x14">
        <control shapeId="3075" r:id="rId8" name="ScrollBar3">
          <controlPr defaultSize="0" autoLine="0" linkedCell="$G$4" r:id="rId9">
            <anchor moveWithCells="1">
              <from>
                <xdr:col>2</xdr:col>
                <xdr:colOff>19050</xdr:colOff>
                <xdr:row>3</xdr:row>
                <xdr:rowOff>38100</xdr:rowOff>
              </from>
              <to>
                <xdr:col>5</xdr:col>
                <xdr:colOff>603250</xdr:colOff>
                <xdr:row>4</xdr:row>
                <xdr:rowOff>31750</xdr:rowOff>
              </to>
            </anchor>
          </controlPr>
        </control>
      </mc:Choice>
      <mc:Fallback>
        <control shapeId="3075" r:id="rId8" name="ScrollBar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E73EF-F76F-4A50-AC03-A6D30BAE88DA}">
  <sheetPr codeName="Sheet1"/>
  <dimension ref="A2:I36"/>
  <sheetViews>
    <sheetView showGridLines="0" workbookViewId="0">
      <selection activeCell="C3" sqref="C3"/>
    </sheetView>
  </sheetViews>
  <sheetFormatPr defaultRowHeight="14.5" x14ac:dyDescent="0.35"/>
  <cols>
    <col min="1" max="1" width="4" customWidth="1"/>
    <col min="3" max="5" width="4.54296875" customWidth="1"/>
    <col min="7" max="9" width="4.81640625" customWidth="1"/>
  </cols>
  <sheetData>
    <row r="2" spans="1:9" x14ac:dyDescent="0.35">
      <c r="B2">
        <v>50</v>
      </c>
    </row>
    <row r="3" spans="1:9" ht="15" thickBot="1" x14ac:dyDescent="0.4"/>
    <row r="4" spans="1:9" ht="15" thickBot="1" x14ac:dyDescent="0.4">
      <c r="A4" s="6" t="s">
        <v>5</v>
      </c>
      <c r="B4" s="4">
        <v>21</v>
      </c>
    </row>
    <row r="5" spans="1:9" ht="15" thickBot="1" x14ac:dyDescent="0.4">
      <c r="A5" s="6" t="s">
        <v>6</v>
      </c>
      <c r="B5" s="4">
        <v>77</v>
      </c>
    </row>
    <row r="6" spans="1:9" ht="15" thickBot="1" x14ac:dyDescent="0.4">
      <c r="A6" s="6" t="s">
        <v>7</v>
      </c>
      <c r="B6" s="4">
        <v>120</v>
      </c>
    </row>
    <row r="9" spans="1:9" x14ac:dyDescent="0.35">
      <c r="C9" s="9" t="s">
        <v>5</v>
      </c>
      <c r="D9" s="9" t="s">
        <v>6</v>
      </c>
      <c r="E9" s="9" t="s">
        <v>7</v>
      </c>
      <c r="G9" s="9"/>
      <c r="H9" s="9"/>
      <c r="I9" s="9"/>
    </row>
    <row r="10" spans="1:9" x14ac:dyDescent="0.35">
      <c r="C10">
        <f>-$B$2</f>
        <v>-50</v>
      </c>
      <c r="D10">
        <v>0</v>
      </c>
      <c r="E10">
        <v>0</v>
      </c>
      <c r="G10">
        <f>$C10*(COS(RADIANS($B$5))*COS(RADIANS($B$6)))+$D10*(-SIN(RADIANS($B$6))*COS(RADIANS($B$5)))+$E10*(SIN(RADIANS($B$5)))</f>
        <v>5.6237763585966203</v>
      </c>
      <c r="H10">
        <f>$C10*((COS(RADIANS($B$6))*(-SIN(RADIANS($B$5)))*(-SIN(RADIANS($B$4))))+(SIN(RADIANS($B$6))*COS(RADIANS($B$4))))+$D10*((-SIN(RADIANS($B$6))*(-SIN(RADIANS($B$5)))*(-SIN(RADIANS($B$4))))+(COS(RADIANS($B$6))*COS(RADIANS($B$4))))+$E10*(COS(RADIANS($B$5))*(-SIN(RADIANS($B$4))))</f>
        <v>-31.695643235739233</v>
      </c>
    </row>
    <row r="11" spans="1:9" x14ac:dyDescent="0.35">
      <c r="C11">
        <f>+$B$2</f>
        <v>50</v>
      </c>
      <c r="D11">
        <v>0</v>
      </c>
      <c r="E11">
        <v>0</v>
      </c>
      <c r="G11">
        <f t="shared" ref="G11:G18" si="0">$C11*(COS(RADIANS($B$5))*COS(RADIANS($B$6)))+$D11*(-SIN(RADIANS($B$6))*COS(RADIANS($B$5)))+$E11*(SIN(RADIANS($B$5)))</f>
        <v>-5.6237763585966203</v>
      </c>
      <c r="H11">
        <f t="shared" ref="H11:H18" si="1">$C11*((COS(RADIANS($B$6))*(-SIN(RADIANS($B$5)))*(-SIN(RADIANS($B$4))))+(SIN(RADIANS($B$6))*COS(RADIANS($B$4))))+$D11*((-SIN(RADIANS($B$6))*(-SIN(RADIANS($B$5)))*(-SIN(RADIANS($B$4))))+(COS(RADIANS($B$6))*COS(RADIANS($B$4))))+$E11*(COS(RADIANS($B$5))*(-SIN(RADIANS($B$4))))</f>
        <v>31.695643235739233</v>
      </c>
    </row>
    <row r="12" spans="1:9" x14ac:dyDescent="0.35">
      <c r="C12">
        <v>0</v>
      </c>
      <c r="D12">
        <v>0</v>
      </c>
      <c r="E12">
        <v>0</v>
      </c>
      <c r="G12">
        <f t="shared" si="0"/>
        <v>0</v>
      </c>
      <c r="H12">
        <f t="shared" si="1"/>
        <v>0</v>
      </c>
    </row>
    <row r="13" spans="1:9" x14ac:dyDescent="0.35">
      <c r="C13">
        <v>0</v>
      </c>
      <c r="D13">
        <f>-$B$2</f>
        <v>-50</v>
      </c>
      <c r="E13">
        <v>0</v>
      </c>
      <c r="G13">
        <f t="shared" si="0"/>
        <v>9.740666383494041</v>
      </c>
      <c r="H13">
        <f t="shared" si="1"/>
        <v>38.459578186843011</v>
      </c>
    </row>
    <row r="14" spans="1:9" x14ac:dyDescent="0.35">
      <c r="C14">
        <v>0</v>
      </c>
      <c r="D14">
        <f>+$B$2</f>
        <v>50</v>
      </c>
      <c r="E14">
        <v>0</v>
      </c>
      <c r="G14">
        <f t="shared" si="0"/>
        <v>-9.740666383494041</v>
      </c>
      <c r="H14">
        <f t="shared" si="1"/>
        <v>-38.459578186843011</v>
      </c>
    </row>
    <row r="15" spans="1:9" x14ac:dyDescent="0.35">
      <c r="C15">
        <v>0</v>
      </c>
      <c r="D15">
        <v>0</v>
      </c>
      <c r="E15">
        <v>0</v>
      </c>
      <c r="G15">
        <f t="shared" si="0"/>
        <v>0</v>
      </c>
      <c r="H15">
        <f t="shared" si="1"/>
        <v>0</v>
      </c>
    </row>
    <row r="16" spans="1:9" x14ac:dyDescent="0.35">
      <c r="C16">
        <v>0</v>
      </c>
      <c r="D16">
        <v>0</v>
      </c>
      <c r="E16">
        <f>-$B$2</f>
        <v>-50</v>
      </c>
      <c r="G16">
        <f t="shared" si="0"/>
        <v>-48.718503239261764</v>
      </c>
      <c r="H16">
        <f t="shared" si="1"/>
        <v>4.0307624046632142</v>
      </c>
    </row>
    <row r="17" spans="2:8" x14ac:dyDescent="0.35">
      <c r="C17">
        <v>0</v>
      </c>
      <c r="D17">
        <v>0</v>
      </c>
      <c r="E17">
        <f>+$B$2</f>
        <v>50</v>
      </c>
      <c r="G17">
        <f t="shared" si="0"/>
        <v>48.718503239261764</v>
      </c>
      <c r="H17">
        <f t="shared" si="1"/>
        <v>-4.0307624046632142</v>
      </c>
    </row>
    <row r="18" spans="2:8" x14ac:dyDescent="0.35">
      <c r="C18">
        <v>0</v>
      </c>
      <c r="D18">
        <v>0</v>
      </c>
      <c r="E18">
        <v>0</v>
      </c>
      <c r="G18">
        <f t="shared" si="0"/>
        <v>0</v>
      </c>
      <c r="H18">
        <f t="shared" si="1"/>
        <v>0</v>
      </c>
    </row>
    <row r="20" spans="2:8" x14ac:dyDescent="0.35">
      <c r="C20" s="9" t="s">
        <v>5</v>
      </c>
      <c r="D20" s="9" t="s">
        <v>6</v>
      </c>
      <c r="E20" s="9" t="s">
        <v>7</v>
      </c>
      <c r="G20" s="9"/>
      <c r="H20" s="9"/>
    </row>
    <row r="21" spans="2:8" x14ac:dyDescent="0.35">
      <c r="B21">
        <v>1</v>
      </c>
      <c r="C21">
        <f>-$B$2/2</f>
        <v>-25</v>
      </c>
      <c r="D21">
        <f>+$B$2/2</f>
        <v>25</v>
      </c>
      <c r="E21">
        <f t="shared" ref="E21:E25" si="2">-$B$2/2</f>
        <v>-25</v>
      </c>
      <c r="G21">
        <f>$C21*(COS(RADIANS($B$5))*COS(RADIANS($B$6)))+$D21*(-SIN(RADIANS($B$6))*COS(RADIANS($B$5)))+$E21*(SIN(RADIANS($B$5)))</f>
        <v>-26.417696632079593</v>
      </c>
      <c r="H21">
        <f>$C21*((COS(RADIANS($B$6))*(-SIN(RADIANS($B$5)))*(-SIN(RADIANS($B$4))))+(SIN(RADIANS($B$6))*COS(RADIANS($B$4))))+$D21*((-SIN(RADIANS($B$6))*(-SIN(RADIANS($B$5)))*(-SIN(RADIANS($B$4))))+(COS(RADIANS($B$6))*COS(RADIANS($B$4))))+$E21*(COS(RADIANS($B$5))*(-SIN(RADIANS($B$4))))</f>
        <v>-33.062229508959518</v>
      </c>
    </row>
    <row r="22" spans="2:8" x14ac:dyDescent="0.35">
      <c r="B22">
        <v>2</v>
      </c>
      <c r="C22">
        <f>+$B$2/2</f>
        <v>25</v>
      </c>
      <c r="D22">
        <f>+$B$2/2</f>
        <v>25</v>
      </c>
      <c r="E22">
        <f t="shared" si="2"/>
        <v>-25</v>
      </c>
      <c r="G22">
        <f t="shared" ref="G22:G36" si="3">$C22*(COS(RADIANS($B$5))*COS(RADIANS($B$6)))+$D22*(-SIN(RADIANS($B$6))*COS(RADIANS($B$5)))+$E22*(SIN(RADIANS($B$5)))</f>
        <v>-32.041472990676212</v>
      </c>
      <c r="H22">
        <f t="shared" ref="H22:H36" si="4">$C22*((COS(RADIANS($B$6))*(-SIN(RADIANS($B$5)))*(-SIN(RADIANS($B$4))))+(SIN(RADIANS($B$6))*COS(RADIANS($B$4))))+$D22*((-SIN(RADIANS($B$6))*(-SIN(RADIANS($B$5)))*(-SIN(RADIANS($B$4))))+(COS(RADIANS($B$6))*COS(RADIANS($B$4))))+$E22*(COS(RADIANS($B$5))*(-SIN(RADIANS($B$4))))</f>
        <v>-1.3665862732202818</v>
      </c>
    </row>
    <row r="23" spans="2:8" x14ac:dyDescent="0.35">
      <c r="B23">
        <v>3</v>
      </c>
      <c r="C23">
        <f>+$B$2/2</f>
        <v>25</v>
      </c>
      <c r="D23">
        <f>-$B$2/2</f>
        <v>-25</v>
      </c>
      <c r="E23">
        <f t="shared" si="2"/>
        <v>-25</v>
      </c>
      <c r="G23">
        <f t="shared" si="3"/>
        <v>-22.300806607182171</v>
      </c>
      <c r="H23">
        <f t="shared" si="4"/>
        <v>37.092991913622726</v>
      </c>
    </row>
    <row r="24" spans="2:8" x14ac:dyDescent="0.35">
      <c r="B24">
        <v>4</v>
      </c>
      <c r="C24">
        <f>-$B$2/2</f>
        <v>-25</v>
      </c>
      <c r="D24">
        <f>-$B$2/2</f>
        <v>-25</v>
      </c>
      <c r="E24">
        <f t="shared" si="2"/>
        <v>-25</v>
      </c>
      <c r="G24">
        <f t="shared" si="3"/>
        <v>-16.677030248585552</v>
      </c>
      <c r="H24">
        <f t="shared" si="4"/>
        <v>5.397348677883496</v>
      </c>
    </row>
    <row r="25" spans="2:8" x14ac:dyDescent="0.35">
      <c r="B25">
        <v>5</v>
      </c>
      <c r="C25">
        <f>-$B$2/2</f>
        <v>-25</v>
      </c>
      <c r="D25">
        <f>+$B$2/2</f>
        <v>25</v>
      </c>
      <c r="E25">
        <f t="shared" si="2"/>
        <v>-25</v>
      </c>
      <c r="G25">
        <f t="shared" si="3"/>
        <v>-26.417696632079593</v>
      </c>
      <c r="H25">
        <f t="shared" si="4"/>
        <v>-33.062229508959518</v>
      </c>
    </row>
    <row r="26" spans="2:8" x14ac:dyDescent="0.35">
      <c r="B26">
        <v>6</v>
      </c>
      <c r="C26">
        <f>-$B$2/2</f>
        <v>-25</v>
      </c>
      <c r="D26">
        <f>+$B$2/2</f>
        <v>25</v>
      </c>
      <c r="E26">
        <f>+$B$2/2</f>
        <v>25</v>
      </c>
      <c r="G26">
        <f t="shared" si="3"/>
        <v>22.300806607182171</v>
      </c>
      <c r="H26">
        <f t="shared" si="4"/>
        <v>-37.092991913622726</v>
      </c>
    </row>
    <row r="27" spans="2:8" x14ac:dyDescent="0.35">
      <c r="B27">
        <v>7</v>
      </c>
      <c r="C27">
        <f>+$B$2/2</f>
        <v>25</v>
      </c>
      <c r="D27">
        <f>+$B$2/2</f>
        <v>25</v>
      </c>
      <c r="E27">
        <f>+$B$2/2</f>
        <v>25</v>
      </c>
      <c r="G27">
        <f t="shared" si="3"/>
        <v>16.677030248585552</v>
      </c>
      <c r="H27">
        <f t="shared" si="4"/>
        <v>-5.397348677883496</v>
      </c>
    </row>
    <row r="28" spans="2:8" x14ac:dyDescent="0.35">
      <c r="B28">
        <v>8</v>
      </c>
      <c r="C28">
        <f>+$B$2/2</f>
        <v>25</v>
      </c>
      <c r="D28">
        <f>+$B$2/2</f>
        <v>25</v>
      </c>
      <c r="E28">
        <f>-$B$2/2</f>
        <v>-25</v>
      </c>
      <c r="G28">
        <f t="shared" si="3"/>
        <v>-32.041472990676212</v>
      </c>
      <c r="H28">
        <f t="shared" si="4"/>
        <v>-1.3665862732202818</v>
      </c>
    </row>
    <row r="29" spans="2:8" x14ac:dyDescent="0.35">
      <c r="B29">
        <v>9</v>
      </c>
      <c r="C29">
        <f>+$B$2/2</f>
        <v>25</v>
      </c>
      <c r="D29">
        <f>-$B$2/2</f>
        <v>-25</v>
      </c>
      <c r="E29">
        <f>-$B$2/2</f>
        <v>-25</v>
      </c>
      <c r="G29">
        <f t="shared" si="3"/>
        <v>-22.300806607182171</v>
      </c>
      <c r="H29">
        <f t="shared" si="4"/>
        <v>37.092991913622726</v>
      </c>
    </row>
    <row r="30" spans="2:8" x14ac:dyDescent="0.35">
      <c r="B30">
        <v>10</v>
      </c>
      <c r="C30">
        <f>+$B$2/2</f>
        <v>25</v>
      </c>
      <c r="D30">
        <f>-$B$2/2</f>
        <v>-25</v>
      </c>
      <c r="E30">
        <f t="shared" ref="E30:E35" si="5">+$B$2/2</f>
        <v>25</v>
      </c>
      <c r="G30">
        <f t="shared" si="3"/>
        <v>26.417696632079593</v>
      </c>
      <c r="H30">
        <f t="shared" si="4"/>
        <v>33.062229508959518</v>
      </c>
    </row>
    <row r="31" spans="2:8" x14ac:dyDescent="0.35">
      <c r="B31">
        <v>11</v>
      </c>
      <c r="C31">
        <f>+$B$2/2</f>
        <v>25</v>
      </c>
      <c r="D31">
        <f>+$B$2/2</f>
        <v>25</v>
      </c>
      <c r="E31">
        <f t="shared" si="5"/>
        <v>25</v>
      </c>
      <c r="G31">
        <f t="shared" si="3"/>
        <v>16.677030248585552</v>
      </c>
      <c r="H31">
        <f t="shared" si="4"/>
        <v>-5.397348677883496</v>
      </c>
    </row>
    <row r="32" spans="2:8" x14ac:dyDescent="0.35">
      <c r="B32">
        <v>12</v>
      </c>
      <c r="C32">
        <f>-$B$2/2</f>
        <v>-25</v>
      </c>
      <c r="D32">
        <f>+$B$2/2</f>
        <v>25</v>
      </c>
      <c r="E32">
        <f t="shared" si="5"/>
        <v>25</v>
      </c>
      <c r="G32">
        <f t="shared" si="3"/>
        <v>22.300806607182171</v>
      </c>
      <c r="H32">
        <f t="shared" si="4"/>
        <v>-37.092991913622726</v>
      </c>
    </row>
    <row r="33" spans="2:8" x14ac:dyDescent="0.35">
      <c r="B33">
        <v>13</v>
      </c>
      <c r="C33">
        <f>-$B$2/2</f>
        <v>-25</v>
      </c>
      <c r="D33">
        <f>-$B$2/2</f>
        <v>-25</v>
      </c>
      <c r="E33">
        <f t="shared" si="5"/>
        <v>25</v>
      </c>
      <c r="G33">
        <f t="shared" si="3"/>
        <v>32.041472990676212</v>
      </c>
      <c r="H33">
        <f t="shared" si="4"/>
        <v>1.3665862732202818</v>
      </c>
    </row>
    <row r="34" spans="2:8" x14ac:dyDescent="0.35">
      <c r="B34">
        <v>14</v>
      </c>
      <c r="C34">
        <f>+$B$2/2</f>
        <v>25</v>
      </c>
      <c r="D34">
        <f>-$B$2/2</f>
        <v>-25</v>
      </c>
      <c r="E34">
        <f t="shared" si="5"/>
        <v>25</v>
      </c>
      <c r="G34">
        <f t="shared" si="3"/>
        <v>26.417696632079593</v>
      </c>
      <c r="H34">
        <f t="shared" si="4"/>
        <v>33.062229508959518</v>
      </c>
    </row>
    <row r="35" spans="2:8" x14ac:dyDescent="0.35">
      <c r="B35">
        <v>15</v>
      </c>
      <c r="C35">
        <f>-$B$2/2</f>
        <v>-25</v>
      </c>
      <c r="D35">
        <f>-$B$2/2</f>
        <v>-25</v>
      </c>
      <c r="E35">
        <f t="shared" si="5"/>
        <v>25</v>
      </c>
      <c r="G35">
        <f t="shared" si="3"/>
        <v>32.041472990676212</v>
      </c>
      <c r="H35">
        <f t="shared" si="4"/>
        <v>1.3665862732202818</v>
      </c>
    </row>
    <row r="36" spans="2:8" x14ac:dyDescent="0.35">
      <c r="B36">
        <v>16</v>
      </c>
      <c r="C36">
        <f>-$B$2/2</f>
        <v>-25</v>
      </c>
      <c r="D36">
        <f>-$B$2/2</f>
        <v>-25</v>
      </c>
      <c r="E36">
        <f>-$B$2/2</f>
        <v>-25</v>
      </c>
      <c r="G36">
        <f t="shared" si="3"/>
        <v>-16.677030248585552</v>
      </c>
      <c r="H36">
        <f t="shared" si="4"/>
        <v>5.397348677883496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ScrollBar1">
          <controlPr defaultSize="0" autoLine="0" linkedCell="$B$4" r:id="rId4">
            <anchor moveWithCells="1">
              <from>
                <xdr:col>2</xdr:col>
                <xdr:colOff>19050</xdr:colOff>
                <xdr:row>3</xdr:row>
                <xdr:rowOff>12700</xdr:rowOff>
              </from>
              <to>
                <xdr:col>8</xdr:col>
                <xdr:colOff>196850</xdr:colOff>
                <xdr:row>4</xdr:row>
                <xdr:rowOff>6350</xdr:rowOff>
              </to>
            </anchor>
          </controlPr>
        </control>
      </mc:Choice>
      <mc:Fallback>
        <control shapeId="4097" r:id="rId3" name="ScrollBar1"/>
      </mc:Fallback>
    </mc:AlternateContent>
    <mc:AlternateContent xmlns:mc="http://schemas.openxmlformats.org/markup-compatibility/2006">
      <mc:Choice Requires="x14">
        <control shapeId="4098" r:id="rId5" name="ScrollBar2">
          <controlPr defaultSize="0" autoLine="0" linkedCell="$B$5" r:id="rId6">
            <anchor moveWithCells="1">
              <from>
                <xdr:col>2</xdr:col>
                <xdr:colOff>19050</xdr:colOff>
                <xdr:row>4</xdr:row>
                <xdr:rowOff>19050</xdr:rowOff>
              </from>
              <to>
                <xdr:col>8</xdr:col>
                <xdr:colOff>196850</xdr:colOff>
                <xdr:row>5</xdr:row>
                <xdr:rowOff>12700</xdr:rowOff>
              </to>
            </anchor>
          </controlPr>
        </control>
      </mc:Choice>
      <mc:Fallback>
        <control shapeId="4098" r:id="rId5" name="ScrollBar2"/>
      </mc:Fallback>
    </mc:AlternateContent>
    <mc:AlternateContent xmlns:mc="http://schemas.openxmlformats.org/markup-compatibility/2006">
      <mc:Choice Requires="x14">
        <control shapeId="4099" r:id="rId7" name="ScrollBar3">
          <controlPr defaultSize="0" autoLine="0" linkedCell="$B$6" r:id="rId8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8</xdr:col>
                <xdr:colOff>196850</xdr:colOff>
                <xdr:row>6</xdr:row>
                <xdr:rowOff>12700</xdr:rowOff>
              </to>
            </anchor>
          </controlPr>
        </control>
      </mc:Choice>
      <mc:Fallback>
        <control shapeId="4099" r:id="rId7" name="ScrollBar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0A0B9-6DBC-4647-9583-6CBD1A780CB8}">
  <sheetPr codeName="Sheet4"/>
  <dimension ref="A1:AH53"/>
  <sheetViews>
    <sheetView showGridLines="0" zoomScaleNormal="100" workbookViewId="0">
      <selection activeCell="D3" sqref="D3"/>
    </sheetView>
  </sheetViews>
  <sheetFormatPr defaultRowHeight="14.5" x14ac:dyDescent="0.35"/>
  <cols>
    <col min="1" max="1" width="10" customWidth="1"/>
    <col min="2" max="2" width="6.1796875" bestFit="1" customWidth="1"/>
    <col min="3" max="5" width="4.54296875" customWidth="1"/>
    <col min="7" max="9" width="4.81640625" customWidth="1"/>
    <col min="11" max="11" width="9.1796875" customWidth="1"/>
    <col min="12" max="12" width="5" customWidth="1"/>
    <col min="13" max="14" width="3" customWidth="1"/>
    <col min="15" max="15" width="2" customWidth="1"/>
    <col min="16" max="28" width="2.1796875" customWidth="1"/>
    <col min="29" max="29" width="4" customWidth="1"/>
    <col min="30" max="32" width="9.1796875" customWidth="1"/>
    <col min="34" max="34" width="3.7265625" customWidth="1"/>
  </cols>
  <sheetData>
    <row r="1" spans="1:34" ht="15" thickBot="1" x14ac:dyDescent="0.4">
      <c r="A1" s="10" t="s">
        <v>8</v>
      </c>
      <c r="B1" s="11" t="b">
        <v>0</v>
      </c>
    </row>
    <row r="2" spans="1:34" ht="15" thickBot="1" x14ac:dyDescent="0.4">
      <c r="A2" s="10" t="s">
        <v>9</v>
      </c>
      <c r="B2" s="11">
        <v>500</v>
      </c>
    </row>
    <row r="3" spans="1:34" ht="15" thickBot="1" x14ac:dyDescent="0.4">
      <c r="A3" s="10" t="s">
        <v>10</v>
      </c>
      <c r="B3" s="11">
        <v>5</v>
      </c>
      <c r="C3" s="9" t="s">
        <v>5</v>
      </c>
      <c r="D3" s="9" t="s">
        <v>6</v>
      </c>
      <c r="E3" s="9" t="s">
        <v>7</v>
      </c>
      <c r="G3" s="9"/>
      <c r="H3" s="9"/>
    </row>
    <row r="4" spans="1:34" ht="15" thickBot="1" x14ac:dyDescent="0.4">
      <c r="A4" s="10" t="s">
        <v>11</v>
      </c>
      <c r="B4" s="11">
        <f>t</f>
        <v>130</v>
      </c>
      <c r="C4">
        <f>-$B$2</f>
        <v>-500</v>
      </c>
      <c r="D4">
        <v>0</v>
      </c>
      <c r="E4">
        <v>0</v>
      </c>
      <c r="G4">
        <f t="shared" ref="G4:G12" si="0">$C4*(COS(RADIANS($AC$17))*COS(RADIANS($AC$18)))+$D4*(-SIN(RADIANS($AC$18))*COS(RADIANS($AC$17)))+$E4*(SIN(RADIANS($AC$17)))</f>
        <v>-500</v>
      </c>
      <c r="H4">
        <f t="shared" ref="H4:H12" si="1">$C4*((COS(RADIANS($AC$18))*(-SIN(RADIANS($AC$17)))*(-SIN(RADIANS($AC$16))))+(SIN(RADIANS($AC$18))*COS(RADIANS($AC$16))))+$D4*((-SIN(RADIANS($AC$18))*(-SIN(RADIANS($AC$17)))*(-SIN(RADIANS($AC$16))))+(COS(RADIANS($AC$18))*COS(RADIANS($AC$16))))+$E4*(COS(RADIANS($AC$17))*(-SIN(RADIANS($AC$16))))</f>
        <v>0</v>
      </c>
    </row>
    <row r="5" spans="1:34" x14ac:dyDescent="0.35">
      <c r="C5">
        <f>+$B$2</f>
        <v>500</v>
      </c>
      <c r="D5">
        <v>0</v>
      </c>
      <c r="E5">
        <v>0</v>
      </c>
      <c r="G5">
        <f t="shared" si="0"/>
        <v>500</v>
      </c>
      <c r="H5">
        <f t="shared" si="1"/>
        <v>0</v>
      </c>
    </row>
    <row r="6" spans="1:34" x14ac:dyDescent="0.35">
      <c r="C6">
        <v>0</v>
      </c>
      <c r="D6">
        <v>0</v>
      </c>
      <c r="E6">
        <v>0</v>
      </c>
      <c r="G6">
        <f t="shared" si="0"/>
        <v>0</v>
      </c>
      <c r="H6">
        <f t="shared" si="1"/>
        <v>0</v>
      </c>
    </row>
    <row r="7" spans="1:34" x14ac:dyDescent="0.35">
      <c r="C7">
        <v>0</v>
      </c>
      <c r="D7">
        <f>-$B$2</f>
        <v>-500</v>
      </c>
      <c r="E7">
        <v>0</v>
      </c>
      <c r="G7">
        <f t="shared" si="0"/>
        <v>0</v>
      </c>
      <c r="H7">
        <f t="shared" si="1"/>
        <v>-500</v>
      </c>
    </row>
    <row r="8" spans="1:34" x14ac:dyDescent="0.35">
      <c r="C8">
        <v>0</v>
      </c>
      <c r="D8">
        <f>+$B$2</f>
        <v>500</v>
      </c>
      <c r="E8">
        <v>0</v>
      </c>
      <c r="G8">
        <f t="shared" si="0"/>
        <v>0</v>
      </c>
      <c r="H8">
        <f t="shared" si="1"/>
        <v>500</v>
      </c>
    </row>
    <row r="9" spans="1:34" x14ac:dyDescent="0.35">
      <c r="C9">
        <v>0</v>
      </c>
      <c r="D9">
        <v>0</v>
      </c>
      <c r="E9">
        <v>0</v>
      </c>
      <c r="G9">
        <f t="shared" si="0"/>
        <v>0</v>
      </c>
      <c r="H9">
        <f t="shared" si="1"/>
        <v>0</v>
      </c>
      <c r="I9" s="9"/>
    </row>
    <row r="10" spans="1:34" x14ac:dyDescent="0.35">
      <c r="C10">
        <v>0</v>
      </c>
      <c r="D10">
        <v>0</v>
      </c>
      <c r="E10">
        <f>-$B$2</f>
        <v>-500</v>
      </c>
      <c r="G10">
        <f t="shared" si="0"/>
        <v>0</v>
      </c>
      <c r="H10">
        <f t="shared" si="1"/>
        <v>0</v>
      </c>
    </row>
    <row r="11" spans="1:34" x14ac:dyDescent="0.35">
      <c r="C11">
        <v>0</v>
      </c>
      <c r="D11">
        <v>0</v>
      </c>
      <c r="E11">
        <f>+$B$2</f>
        <v>500</v>
      </c>
      <c r="G11">
        <f t="shared" si="0"/>
        <v>0</v>
      </c>
      <c r="H11">
        <f t="shared" si="1"/>
        <v>0</v>
      </c>
    </row>
    <row r="12" spans="1:34" x14ac:dyDescent="0.35">
      <c r="C12">
        <v>0</v>
      </c>
      <c r="D12">
        <v>0</v>
      </c>
      <c r="E12">
        <v>0</v>
      </c>
      <c r="G12">
        <f t="shared" si="0"/>
        <v>0</v>
      </c>
      <c r="H12">
        <f t="shared" si="1"/>
        <v>0</v>
      </c>
    </row>
    <row r="14" spans="1:34" x14ac:dyDescent="0.35">
      <c r="C14">
        <v>-100</v>
      </c>
      <c r="D14">
        <v>0</v>
      </c>
      <c r="E14">
        <v>-150</v>
      </c>
      <c r="G14">
        <f t="shared" ref="G14:G19" si="2">$C14*(COS(RADIANS($AC$17))*COS(RADIANS($AC$18)))+$D14*(-SIN(RADIANS($AC$18))*COS(RADIANS($AC$17)))+$E14*(SIN(RADIANS($AC$17)))</f>
        <v>-100</v>
      </c>
      <c r="H14">
        <f t="shared" ref="H14:H19" si="3">$C14*((COS(RADIANS($AC$18))*(-SIN(RADIANS($AC$17)))*(-SIN(RADIANS($AC$16))))+(SIN(RADIANS($AC$18))*COS(RADIANS($AC$16))))+$D14*((-SIN(RADIANS($AC$18))*(-SIN(RADIANS($AC$17)))*(-SIN(RADIANS($AC$16))))+(COS(RADIANS($AC$18))*COS(RADIANS($AC$16))))+$E14*(COS(RADIANS($AC$17))*(-SIN(RADIANS($AC$16))))</f>
        <v>0</v>
      </c>
    </row>
    <row r="15" spans="1:34" ht="15" thickBot="1" x14ac:dyDescent="0.4">
      <c r="C15">
        <v>-100</v>
      </c>
      <c r="D15">
        <v>100</v>
      </c>
      <c r="E15">
        <v>-125</v>
      </c>
      <c r="G15">
        <f t="shared" si="2"/>
        <v>-100</v>
      </c>
      <c r="H15">
        <f t="shared" si="3"/>
        <v>100</v>
      </c>
    </row>
    <row r="16" spans="1:34" ht="15" thickBot="1" x14ac:dyDescent="0.4">
      <c r="C16">
        <v>-100</v>
      </c>
      <c r="D16">
        <v>50</v>
      </c>
      <c r="E16">
        <v>-112.5</v>
      </c>
      <c r="G16">
        <f t="shared" si="2"/>
        <v>-100</v>
      </c>
      <c r="H16">
        <f t="shared" si="3"/>
        <v>50</v>
      </c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 t="s">
        <v>5</v>
      </c>
      <c r="AC16" s="4">
        <f>AH16</f>
        <v>0</v>
      </c>
      <c r="AH16" s="12">
        <f>IF(t&lt;$L$23,($M$23-$M$22)*(t-$L$22)/($L$23-$L$22)+$M$22,IF(t&lt;$L$24,($M$24-$M$23)*(t-$L$23)/($L$24-$L$23)+$M$23,IF(t&lt;$L$25,($M$25-$M$24)*(t-$L$24)/($L$25-$L$24)+$M$24,IF(t&lt;$L$26,($M$26-$M$25)*(t-$L$25)/($L$26-$L$25)+$M$25,IF(t&lt;$L$27,($M$27-$M$26)*(t-$L$26)/($L$27-$L$26)+$M$26,IF(t&lt;$L$28,($M$28-$M$27)*(t-$L$27)/($L$28-$L$27)+$M$27,IF(t&lt;$L$29,($M$29-$M$28)*(t-$L$28)/($L$29-$L$28)+$M$28,IF(t&lt;$L$30,($M$30-$M$29)*(t-$L$29)/($L$30-$L$29)+$M$29,IF(t&lt;$L$31,($M$31-$M$30)*(t-$L$30)/($L$31-$L$30)+$M$30,IF(t&lt;$L$32,($M$32-$M$31)*(t-$L$31)/($L$32-$L$31)+$M$31,IF(t&lt;$L$32,($M$32-$M$31)*(t-$L$31)/($L$32-$L$31)+$M$31,IF(t&lt;$L$33,($M$33-$M$32)*(t-$L$32)/($L$33-$L$32)+$M$32,IF(t&lt;$L$34,($M$34-$M$33)*(t-$L$33)/($L$34-$L$33)+$M$33,IF(t&lt;$L$34,($M$34-$M$33)*(t-$L$33)/($L$34-$L$33+$M$33,IF(t&lt;$L$35,($M$35-$M$34)*(t-$L$34)/($L$35-$L$34)+$M$34,($M$36-$M$35)*(t-$L$35)/($L$36-$L$35+$M$35)))))))))))))))))</f>
        <v>0</v>
      </c>
    </row>
    <row r="17" spans="3:34" ht="15" thickBot="1" x14ac:dyDescent="0.4">
      <c r="C17">
        <v>-100</v>
      </c>
      <c r="D17">
        <v>50</v>
      </c>
      <c r="E17">
        <v>-137.5</v>
      </c>
      <c r="G17">
        <f t="shared" si="2"/>
        <v>-100</v>
      </c>
      <c r="H17">
        <f t="shared" si="3"/>
        <v>50</v>
      </c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 t="s">
        <v>6</v>
      </c>
      <c r="AC17" s="4">
        <f t="shared" ref="AC17:AC18" si="4">AH17</f>
        <v>0</v>
      </c>
      <c r="AH17" s="12">
        <f>IF(t&lt;$L$23,($N$23-$N$22)*(t-$L$22)/($L$23-$L$22)+$N$22,IF(t&lt;$L$24,($N$24-$N$23)*(t-$L$23)/($L$24-$L$23)+$N$23,IF(t&lt;$L$25,($N$25-$N$24)*(t-$L$24)/($L$25-$L$24)+$N$24,IF(t&lt;$L$26,($N$26-$N$25)*(t-$L$25)/($L$26-$L$25)+$N$25,IF(t&lt;$L$27,($N$27-$N$26)*(t-$L$26)/($L$27-$L$26)+$N$26,IF(t&lt;$L$28,($N$28-$N$27)*(t-$L$27)/($L$28-$L$27)+$N$27,IF(t&lt;$L$29,($N$29-$N$28)*(t-$L$28)/($L$29-$L$28)+$N$28,IF(t&lt;$L$30,($N$30-$N$29)*(t-$L$29)/($L$30-$L$29)+$N$29,IF(t&lt;$L$31,($N$31-$N$30)*(t-$L$30)/($L$31-$L$30)+$N$30,IF(t&lt;$L$32,($N$32-$N$31)*(t-$L$31)/($L$32-$L$31)+$N$31,IF(t&lt;$L$32,($N$32-$N$31)*(t-$L$31)/($L$32-$L$31)+$N$31,IF(t&lt;$L$33,($N$33-$N$32)*(t-$L$32)/($L$33-$L$32)+$N$32,IF(t&lt;$L$34,($N$34-$N$33)*(t-$L$33)/($L$34-$L$33)+$N$33,IF(t&lt;$L$34,($N$34-$N$33)*(t-$L$33)/($L$34-$L$33+$N$33,IF(t&lt;$L$35,($N$35-$N$34)*(t-$L$34)/($L$35-$L$34)+$N$34,($N$36-$N$35)*(t-$L$35)/($L$36-$L$35+$N$35)))))))))))))))))</f>
        <v>0</v>
      </c>
    </row>
    <row r="18" spans="3:34" ht="15" thickBot="1" x14ac:dyDescent="0.4">
      <c r="C18">
        <v>-100</v>
      </c>
      <c r="D18">
        <v>50</v>
      </c>
      <c r="E18">
        <v>-112.5</v>
      </c>
      <c r="G18">
        <f t="shared" si="2"/>
        <v>-100</v>
      </c>
      <c r="H18">
        <f t="shared" si="3"/>
        <v>50</v>
      </c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 t="s">
        <v>7</v>
      </c>
      <c r="AC18" s="4">
        <f t="shared" si="4"/>
        <v>0</v>
      </c>
      <c r="AH18" s="12">
        <f>IF(t&lt;$L$23,($O$23-$O$22)*(t-$L$22)/($L$23-$L$22)+$O$22,IF(t&lt;$L$24,($O$24-$O$23)*(t-$L$23)/($L$24-$L$23)+$O$23,IF(t&lt;$L$25,($O$25-$O$24)*(t-$L$24)/($L$25-$L$24)+$O$24,IF(t&lt;$L$26,($O$26-$O$25)*(t-$L$25)/($L$26-$L$25)+$O$25,IF(t&lt;$L$27,($O$27-$O$26)*(t-$L$26)/($L$27-$L$26)+$O$26,IF(t&lt;$L$28,($O$28-$O$27)*(t-$L$27)/($L$28-$L$27)+$O$27,IF(t&lt;$L$29,($O$29-$O$28)*(t-$L$28)/($L$29-$L$28)+$O$28,IF(t&lt;$L$30,($O$30-$O$29)*(t-$L$29)/($L$30-$L$29)+$O$29,IF(t&lt;$L$31,($O$31-$O$30)*(t-$L$30)/($L$31-$L$30)+$O$30,IF(t&lt;$L$32,($O$32-$O$31)*(t-$L$31)/($L$32-$L$31)+$O$31,IF(t&lt;$L$32,($O$32-$O$31)*(t-$L$31)/($L$32-$L$31)+$O$31,IF(t&lt;$L$33,($O$33-$O$32)*(t-$L$32)/($L$33-$L$32)+$O$32,IF(t&lt;$L$34,($O$34-$O$33)*(t-$L$33)/($L$34-$L$33)+$O$33,IF(t&lt;$L$34,($O$34-$O$33)*(t-$L$33)/($L$34-$L$33+$O$33,IF(t&lt;$L$35,($O$35-$O$34)*(t-$L$34)/($L$35-$L$34)+$O$34,($O$36-$O$35)*(t-$L$35)/($L$36-$L$35+$O$35)))))))))))))))))</f>
        <v>0</v>
      </c>
    </row>
    <row r="19" spans="3:34" x14ac:dyDescent="0.35">
      <c r="C19">
        <v>-100</v>
      </c>
      <c r="D19">
        <v>0</v>
      </c>
      <c r="E19">
        <v>-100</v>
      </c>
      <c r="G19">
        <f t="shared" si="2"/>
        <v>-100</v>
      </c>
      <c r="H19">
        <f t="shared" si="3"/>
        <v>0</v>
      </c>
    </row>
    <row r="21" spans="3:34" x14ac:dyDescent="0.35">
      <c r="C21">
        <v>-75</v>
      </c>
      <c r="D21">
        <v>0</v>
      </c>
      <c r="E21">
        <v>-50</v>
      </c>
      <c r="G21">
        <f>$C21*(COS(RADIANS($AC$17))*COS(RADIANS($AC$18)))+$D21*(-SIN(RADIANS($AC$18))*COS(RADIANS($AC$17)))+$E21*(SIN(RADIANS($AC$17)))</f>
        <v>-75</v>
      </c>
      <c r="H21">
        <f>$C21*((COS(RADIANS($AC$18))*(-SIN(RADIANS($AC$17)))*(-SIN(RADIANS($AC$16))))+(SIN(RADIANS($AC$18))*COS(RADIANS($AC$16))))+$D21*((-SIN(RADIANS($AC$18))*(-SIN(RADIANS($AC$17)))*(-SIN(RADIANS($AC$16))))+(COS(RADIANS($AC$18))*COS(RADIANS($AC$16))))+$E21*(COS(RADIANS($AC$17))*(-SIN(RADIANS($AC$16))))</f>
        <v>0</v>
      </c>
      <c r="L21" s="9" t="s">
        <v>3</v>
      </c>
      <c r="M21" s="9" t="s">
        <v>5</v>
      </c>
      <c r="N21" s="9" t="s">
        <v>6</v>
      </c>
      <c r="O21" s="9" t="s">
        <v>7</v>
      </c>
      <c r="AF21" s="9"/>
    </row>
    <row r="22" spans="3:34" x14ac:dyDescent="0.35">
      <c r="C22">
        <v>-75</v>
      </c>
      <c r="D22">
        <v>100</v>
      </c>
      <c r="E22">
        <v>-50</v>
      </c>
      <c r="G22">
        <f>$C22*(COS(RADIANS($AC$17))*COS(RADIANS($AC$18)))+$D22*(-SIN(RADIANS($AC$18))*COS(RADIANS($AC$17)))+$E22*(SIN(RADIANS($AC$17)))</f>
        <v>-75</v>
      </c>
      <c r="H22">
        <f>$C22*((COS(RADIANS($AC$18))*(-SIN(RADIANS($AC$17)))*(-SIN(RADIANS($AC$16))))+(SIN(RADIANS($AC$18))*COS(RADIANS($AC$16))))+$D22*((-SIN(RADIANS($AC$18))*(-SIN(RADIANS($AC$17)))*(-SIN(RADIANS($AC$16))))+(COS(RADIANS($AC$18))*COS(RADIANS($AC$16))))+$E22*(COS(RADIANS($AC$17))*(-SIN(RADIANS($AC$16))))</f>
        <v>100</v>
      </c>
      <c r="L22">
        <v>0</v>
      </c>
      <c r="M22">
        <v>0</v>
      </c>
      <c r="N22">
        <v>0</v>
      </c>
      <c r="O22">
        <v>0</v>
      </c>
      <c r="AF22" s="9"/>
    </row>
    <row r="23" spans="3:34" x14ac:dyDescent="0.35">
      <c r="C23">
        <v>-25</v>
      </c>
      <c r="D23">
        <v>100</v>
      </c>
      <c r="E23">
        <v>-25</v>
      </c>
      <c r="G23">
        <f>$C23*(COS(RADIANS($AC$17))*COS(RADIANS($AC$18)))+$D23*(-SIN(RADIANS($AC$18))*COS(RADIANS($AC$17)))+$E23*(SIN(RADIANS($AC$17)))</f>
        <v>-25</v>
      </c>
      <c r="H23">
        <f>$C23*((COS(RADIANS($AC$18))*(-SIN(RADIANS($AC$17)))*(-SIN(RADIANS($AC$16))))+(SIN(RADIANS($AC$18))*COS(RADIANS($AC$16))))+$D23*((-SIN(RADIANS($AC$18))*(-SIN(RADIANS($AC$17)))*(-SIN(RADIANS($AC$16))))+(COS(RADIANS($AC$18))*COS(RADIANS($AC$16))))+$E23*(COS(RADIANS($AC$17))*(-SIN(RADIANS($AC$16))))</f>
        <v>100</v>
      </c>
      <c r="L23">
        <v>175</v>
      </c>
      <c r="M23">
        <v>0</v>
      </c>
      <c r="N23">
        <v>0</v>
      </c>
      <c r="O23">
        <v>0</v>
      </c>
      <c r="AF23" s="9"/>
    </row>
    <row r="24" spans="3:34" x14ac:dyDescent="0.35">
      <c r="C24">
        <v>-75</v>
      </c>
      <c r="D24">
        <v>100</v>
      </c>
      <c r="E24">
        <v>-50</v>
      </c>
      <c r="G24">
        <f>$C24*(COS(RADIANS($AC$17))*COS(RADIANS($AC$18)))+$D24*(-SIN(RADIANS($AC$18))*COS(RADIANS($AC$17)))+$E24*(SIN(RADIANS($AC$17)))</f>
        <v>-75</v>
      </c>
      <c r="H24">
        <f>$C24*((COS(RADIANS($AC$18))*(-SIN(RADIANS($AC$17)))*(-SIN(RADIANS($AC$16))))+(SIN(RADIANS($AC$18))*COS(RADIANS($AC$16))))+$D24*((-SIN(RADIANS($AC$18))*(-SIN(RADIANS($AC$17)))*(-SIN(RADIANS($AC$16))))+(COS(RADIANS($AC$18))*COS(RADIANS($AC$16))))+$E24*(COS(RADIANS($AC$17))*(-SIN(RADIANS($AC$16))))</f>
        <v>100</v>
      </c>
      <c r="L24">
        <v>425</v>
      </c>
      <c r="M24">
        <v>0</v>
      </c>
      <c r="N24">
        <v>45</v>
      </c>
      <c r="O24">
        <v>0</v>
      </c>
    </row>
    <row r="25" spans="3:34" x14ac:dyDescent="0.35">
      <c r="C25">
        <v>-75</v>
      </c>
      <c r="D25">
        <v>100</v>
      </c>
      <c r="E25">
        <v>-75</v>
      </c>
      <c r="G25">
        <f>$C25*(COS(RADIANS($AC$17))*COS(RADIANS($AC$18)))+$D25*(-SIN(RADIANS($AC$18))*COS(RADIANS($AC$17)))+$E25*(SIN(RADIANS($AC$17)))</f>
        <v>-75</v>
      </c>
      <c r="H25">
        <f>$C25*((COS(RADIANS($AC$18))*(-SIN(RADIANS($AC$17)))*(-SIN(RADIANS($AC$16))))+(SIN(RADIANS($AC$18))*COS(RADIANS($AC$16))))+$D25*((-SIN(RADIANS($AC$18))*(-SIN(RADIANS($AC$17)))*(-SIN(RADIANS($AC$16))))+(COS(RADIANS($AC$18))*COS(RADIANS($AC$16))))+$E25*(COS(RADIANS($AC$17))*(-SIN(RADIANS($AC$16))))</f>
        <v>100</v>
      </c>
      <c r="L25">
        <v>675</v>
      </c>
      <c r="M25">
        <v>0</v>
      </c>
      <c r="N25">
        <v>90</v>
      </c>
      <c r="O25">
        <v>0</v>
      </c>
    </row>
    <row r="26" spans="3:34" x14ac:dyDescent="0.35">
      <c r="C26">
        <v>-75</v>
      </c>
      <c r="D26">
        <v>100</v>
      </c>
      <c r="E26">
        <v>-50</v>
      </c>
      <c r="L26">
        <v>850</v>
      </c>
      <c r="M26">
        <v>0</v>
      </c>
      <c r="N26">
        <v>90</v>
      </c>
      <c r="O26">
        <v>0</v>
      </c>
    </row>
    <row r="27" spans="3:34" x14ac:dyDescent="0.35">
      <c r="C27">
        <v>-25</v>
      </c>
      <c r="D27">
        <v>100</v>
      </c>
      <c r="E27">
        <v>-50</v>
      </c>
      <c r="G27">
        <f>$C27*(COS(RADIANS($AC$17))*COS(RADIANS($AC$18)))+$D27*(-SIN(RADIANS($AC$18))*COS(RADIANS($AC$17)))+$E27*(SIN(RADIANS($AC$17)))</f>
        <v>-25</v>
      </c>
      <c r="H27">
        <f>$C27*((COS(RADIANS($AC$18))*(-SIN(RADIANS($AC$17)))*(-SIN(RADIANS($AC$16))))+(SIN(RADIANS($AC$18))*COS(RADIANS($AC$16))))+$D27*((-SIN(RADIANS($AC$18))*(-SIN(RADIANS($AC$17)))*(-SIN(RADIANS($AC$16))))+(COS(RADIANS($AC$18))*COS(RADIANS($AC$16))))+$E27*(COS(RADIANS($AC$17))*(-SIN(RADIANS($AC$16))))</f>
        <v>100</v>
      </c>
      <c r="L27">
        <v>1100</v>
      </c>
      <c r="M27">
        <v>0</v>
      </c>
      <c r="N27">
        <v>45</v>
      </c>
      <c r="O27">
        <v>0</v>
      </c>
    </row>
    <row r="28" spans="3:34" x14ac:dyDescent="0.35">
      <c r="C28">
        <v>-25</v>
      </c>
      <c r="D28">
        <v>50</v>
      </c>
      <c r="E28">
        <v>-50</v>
      </c>
      <c r="G28">
        <f>$C28*(COS(RADIANS($AC$17))*COS(RADIANS($AC$18)))+$D28*(-SIN(RADIANS($AC$18))*COS(RADIANS($AC$17)))+$E28*(SIN(RADIANS($AC$17)))</f>
        <v>-25</v>
      </c>
      <c r="H28">
        <f>$C28*((COS(RADIANS($AC$18))*(-SIN(RADIANS($AC$17)))*(-SIN(RADIANS($AC$16))))+(SIN(RADIANS($AC$18))*COS(RADIANS($AC$16))))+$D28*((-SIN(RADIANS($AC$18))*(-SIN(RADIANS($AC$17)))*(-SIN(RADIANS($AC$16))))+(COS(RADIANS($AC$18))*COS(RADIANS($AC$16))))+$E28*(COS(RADIANS($AC$17))*(-SIN(RADIANS($AC$16))))</f>
        <v>50</v>
      </c>
      <c r="L28">
        <v>1250</v>
      </c>
      <c r="M28">
        <v>0</v>
      </c>
      <c r="N28">
        <v>45</v>
      </c>
      <c r="O28">
        <v>0</v>
      </c>
    </row>
    <row r="29" spans="3:34" x14ac:dyDescent="0.35">
      <c r="C29">
        <v>-75</v>
      </c>
      <c r="D29">
        <v>50</v>
      </c>
      <c r="E29">
        <v>-50</v>
      </c>
      <c r="G29">
        <f>$C29*(COS(RADIANS($AC$17))*COS(RADIANS($AC$18)))+$D29*(-SIN(RADIANS($AC$18))*COS(RADIANS($AC$17)))+$E29*(SIN(RADIANS($AC$17)))</f>
        <v>-75</v>
      </c>
      <c r="H29">
        <f>$C29*((COS(RADIANS($AC$18))*(-SIN(RADIANS($AC$17)))*(-SIN(RADIANS($AC$16))))+(SIN(RADIANS($AC$18))*COS(RADIANS($AC$16))))+$D29*((-SIN(RADIANS($AC$18))*(-SIN(RADIANS($AC$17)))*(-SIN(RADIANS($AC$16))))+(COS(RADIANS($AC$18))*COS(RADIANS($AC$16))))+$E29*(COS(RADIANS($AC$17))*(-SIN(RADIANS($AC$16))))</f>
        <v>50</v>
      </c>
      <c r="L29">
        <v>1500</v>
      </c>
      <c r="M29">
        <v>45</v>
      </c>
      <c r="N29">
        <v>45</v>
      </c>
      <c r="O29">
        <v>0</v>
      </c>
    </row>
    <row r="30" spans="3:34" x14ac:dyDescent="0.35">
      <c r="C30">
        <v>-25</v>
      </c>
      <c r="D30">
        <v>0</v>
      </c>
      <c r="E30">
        <v>-50</v>
      </c>
      <c r="G30">
        <f>$C30*(COS(RADIANS($AC$17))*COS(RADIANS($AC$18)))+$D30*(-SIN(RADIANS($AC$18))*COS(RADIANS($AC$17)))+$E30*(SIN(RADIANS($AC$17)))</f>
        <v>-25</v>
      </c>
      <c r="H30">
        <f>$C30*((COS(RADIANS($AC$18))*(-SIN(RADIANS($AC$17)))*(-SIN(RADIANS($AC$16))))+(SIN(RADIANS($AC$18))*COS(RADIANS($AC$16))))+$D30*((-SIN(RADIANS($AC$18))*(-SIN(RADIANS($AC$17)))*(-SIN(RADIANS($AC$16))))+(COS(RADIANS($AC$18))*COS(RADIANS($AC$16))))+$E30*(COS(RADIANS($AC$17))*(-SIN(RADIANS($AC$16))))</f>
        <v>0</v>
      </c>
      <c r="L30">
        <v>1750</v>
      </c>
      <c r="M30">
        <v>45</v>
      </c>
      <c r="N30">
        <v>45</v>
      </c>
      <c r="O30">
        <v>0</v>
      </c>
    </row>
    <row r="31" spans="3:34" x14ac:dyDescent="0.35">
      <c r="L31">
        <v>2000</v>
      </c>
      <c r="M31">
        <v>0</v>
      </c>
      <c r="N31">
        <v>0</v>
      </c>
      <c r="O31">
        <v>0</v>
      </c>
    </row>
    <row r="32" spans="3:34" x14ac:dyDescent="0.35">
      <c r="C32">
        <v>0</v>
      </c>
      <c r="D32">
        <v>0</v>
      </c>
      <c r="E32">
        <v>0</v>
      </c>
      <c r="G32">
        <f t="shared" ref="G32:G37" si="5">$C32*(COS(RADIANS($AC$17))*COS(RADIANS($AC$18)))+$D32*(-SIN(RADIANS($AC$18))*COS(RADIANS($AC$17)))+$E32*(SIN(RADIANS($AC$17)))</f>
        <v>0</v>
      </c>
      <c r="H32">
        <f t="shared" ref="H32:H37" si="6">$C32*((COS(RADIANS($AC$18))*(-SIN(RADIANS($AC$17)))*(-SIN(RADIANS($AC$16))))+(SIN(RADIANS($AC$18))*COS(RADIANS($AC$16))))+$D32*((-SIN(RADIANS($AC$18))*(-SIN(RADIANS($AC$17)))*(-SIN(RADIANS($AC$16))))+(COS(RADIANS($AC$18))*COS(RADIANS($AC$16))))+$E32*(COS(RADIANS($AC$17))*(-SIN(RADIANS($AC$16))))</f>
        <v>0</v>
      </c>
    </row>
    <row r="33" spans="3:8" x14ac:dyDescent="0.35">
      <c r="C33">
        <v>0</v>
      </c>
      <c r="D33">
        <v>100</v>
      </c>
      <c r="E33">
        <v>0</v>
      </c>
      <c r="G33">
        <f t="shared" si="5"/>
        <v>0</v>
      </c>
      <c r="H33">
        <f t="shared" si="6"/>
        <v>100</v>
      </c>
    </row>
    <row r="34" spans="3:8" x14ac:dyDescent="0.35">
      <c r="C34">
        <v>50</v>
      </c>
      <c r="D34">
        <v>100</v>
      </c>
      <c r="E34">
        <v>0</v>
      </c>
      <c r="G34">
        <f t="shared" si="5"/>
        <v>50</v>
      </c>
      <c r="H34">
        <f t="shared" si="6"/>
        <v>100</v>
      </c>
    </row>
    <row r="35" spans="3:8" x14ac:dyDescent="0.35">
      <c r="C35">
        <v>0</v>
      </c>
      <c r="D35">
        <v>100</v>
      </c>
      <c r="E35">
        <v>0</v>
      </c>
      <c r="G35">
        <f t="shared" si="5"/>
        <v>0</v>
      </c>
      <c r="H35">
        <f t="shared" si="6"/>
        <v>100</v>
      </c>
    </row>
    <row r="36" spans="3:8" x14ac:dyDescent="0.35">
      <c r="C36">
        <v>0</v>
      </c>
      <c r="D36">
        <v>50</v>
      </c>
      <c r="E36">
        <v>0</v>
      </c>
      <c r="G36">
        <f t="shared" si="5"/>
        <v>0</v>
      </c>
      <c r="H36">
        <f t="shared" si="6"/>
        <v>50</v>
      </c>
    </row>
    <row r="37" spans="3:8" x14ac:dyDescent="0.35">
      <c r="C37">
        <v>50</v>
      </c>
      <c r="D37">
        <v>50</v>
      </c>
      <c r="E37">
        <v>0</v>
      </c>
      <c r="G37">
        <f t="shared" si="5"/>
        <v>50</v>
      </c>
      <c r="H37">
        <f t="shared" si="6"/>
        <v>50</v>
      </c>
    </row>
    <row r="39" spans="3:8" x14ac:dyDescent="0.35">
      <c r="C39">
        <v>62.5</v>
      </c>
      <c r="D39">
        <v>0</v>
      </c>
      <c r="E39">
        <v>25</v>
      </c>
      <c r="G39">
        <f>$C39*(COS(RADIANS($AC$17))*COS(RADIANS($AC$18)))+$D39*(-SIN(RADIANS($AC$18))*COS(RADIANS($AC$17)))+$E39*(SIN(RADIANS($AC$17)))</f>
        <v>62.5</v>
      </c>
      <c r="H39">
        <f>$C39*((COS(RADIANS($AC$18))*(-SIN(RADIANS($AC$17)))*(-SIN(RADIANS($AC$16))))+(SIN(RADIANS($AC$18))*COS(RADIANS($AC$16))))+$D39*((-SIN(RADIANS($AC$18))*(-SIN(RADIANS($AC$17)))*(-SIN(RADIANS($AC$16))))+(COS(RADIANS($AC$18))*COS(RADIANS($AC$16))))+$E39*(COS(RADIANS($AC$17))*(-SIN(RADIANS($AC$16))))</f>
        <v>0</v>
      </c>
    </row>
    <row r="40" spans="3:8" x14ac:dyDescent="0.35">
      <c r="C40">
        <v>87.5</v>
      </c>
      <c r="D40">
        <v>100</v>
      </c>
      <c r="E40">
        <v>25</v>
      </c>
      <c r="G40">
        <f>$C40*(COS(RADIANS($AC$17))*COS(RADIANS($AC$18)))+$D40*(-SIN(RADIANS($AC$18))*COS(RADIANS($AC$17)))+$E40*(SIN(RADIANS($AC$17)))</f>
        <v>87.5</v>
      </c>
      <c r="H40">
        <f>$C40*((COS(RADIANS($AC$18))*(-SIN(RADIANS($AC$17)))*(-SIN(RADIANS($AC$16))))+(SIN(RADIANS($AC$18))*COS(RADIANS($AC$16))))+$D40*((-SIN(RADIANS($AC$18))*(-SIN(RADIANS($AC$17)))*(-SIN(RADIANS($AC$16))))+(COS(RADIANS($AC$18))*COS(RADIANS($AC$16))))+$E40*(COS(RADIANS($AC$17))*(-SIN(RADIANS($AC$16))))</f>
        <v>100</v>
      </c>
    </row>
    <row r="41" spans="3:8" x14ac:dyDescent="0.35">
      <c r="C41">
        <v>100</v>
      </c>
      <c r="D41">
        <v>50</v>
      </c>
      <c r="E41">
        <v>25</v>
      </c>
    </row>
    <row r="42" spans="3:8" x14ac:dyDescent="0.35">
      <c r="C42">
        <v>87.5</v>
      </c>
      <c r="D42">
        <v>100</v>
      </c>
      <c r="E42">
        <v>75</v>
      </c>
      <c r="G42">
        <f>$C42*(COS(RADIANS($AC$17))*COS(RADIANS($AC$18)))+$D42*(-SIN(RADIANS($AC$18))*COS(RADIANS($AC$17)))+$E42*(SIN(RADIANS($AC$17)))</f>
        <v>87.5</v>
      </c>
      <c r="H42">
        <f>$C42*((COS(RADIANS($AC$18))*(-SIN(RADIANS($AC$17)))*(-SIN(RADIANS($AC$16))))+(SIN(RADIANS($AC$18))*COS(RADIANS($AC$16))))+$D42*((-SIN(RADIANS($AC$18))*(-SIN(RADIANS($AC$17)))*(-SIN(RADIANS($AC$16))))+(COS(RADIANS($AC$18))*COS(RADIANS($AC$16))))+$E42*(COS(RADIANS($AC$17))*(-SIN(RADIANS($AC$16))))</f>
        <v>100</v>
      </c>
    </row>
    <row r="43" spans="3:8" x14ac:dyDescent="0.35">
      <c r="C43">
        <v>100</v>
      </c>
      <c r="D43">
        <v>50</v>
      </c>
      <c r="E43">
        <v>25</v>
      </c>
      <c r="G43">
        <f>$C43*(COS(RADIANS($AC$17))*COS(RADIANS($AC$18)))+$D43*(-SIN(RADIANS($AC$18))*COS(RADIANS($AC$17)))+$E43*(SIN(RADIANS($AC$17)))</f>
        <v>100</v>
      </c>
      <c r="H43">
        <f>$C43*((COS(RADIANS($AC$18))*(-SIN(RADIANS($AC$17)))*(-SIN(RADIANS($AC$16))))+(SIN(RADIANS($AC$18))*COS(RADIANS($AC$16))))+$D43*((-SIN(RADIANS($AC$18))*(-SIN(RADIANS($AC$17)))*(-SIN(RADIANS($AC$16))))+(COS(RADIANS($AC$18))*COS(RADIANS($AC$16))))+$E43*(COS(RADIANS($AC$17))*(-SIN(RADIANS($AC$16))))</f>
        <v>50</v>
      </c>
    </row>
    <row r="44" spans="3:8" x14ac:dyDescent="0.35">
      <c r="C44">
        <v>112.5</v>
      </c>
      <c r="D44">
        <v>0</v>
      </c>
      <c r="E44">
        <v>75</v>
      </c>
      <c r="G44">
        <f>$C44*(COS(RADIANS($AC$17))*COS(RADIANS($AC$18)))+$D44*(-SIN(RADIANS($AC$18))*COS(RADIANS($AC$17)))+$E44*(SIN(RADIANS($AC$17)))</f>
        <v>112.5</v>
      </c>
      <c r="H44">
        <f>$C44*((COS(RADIANS($AC$18))*(-SIN(RADIANS($AC$17)))*(-SIN(RADIANS($AC$16))))+(SIN(RADIANS($AC$18))*COS(RADIANS($AC$16))))+$D44*((-SIN(RADIANS($AC$18))*(-SIN(RADIANS($AC$17)))*(-SIN(RADIANS($AC$16))))+(COS(RADIANS($AC$18))*COS(RADIANS($AC$16))))+$E44*(COS(RADIANS($AC$17))*(-SIN(RADIANS($AC$16))))</f>
        <v>0</v>
      </c>
    </row>
    <row r="45" spans="3:8" x14ac:dyDescent="0.35">
      <c r="C45">
        <v>100</v>
      </c>
      <c r="D45">
        <v>50</v>
      </c>
      <c r="E45">
        <v>25</v>
      </c>
      <c r="G45">
        <f>$C45*(COS(RADIANS($AC$17))*COS(RADIANS($AC$18)))+$D45*(-SIN(RADIANS($AC$18))*COS(RADIANS($AC$17)))+$E45*(SIN(RADIANS($AC$17)))</f>
        <v>100</v>
      </c>
      <c r="H45">
        <f>$C45*((COS(RADIANS($AC$18))*(-SIN(RADIANS($AC$17)))*(-SIN(RADIANS($AC$16))))+(SIN(RADIANS($AC$18))*COS(RADIANS($AC$16))))+$D45*((-SIN(RADIANS($AC$18))*(-SIN(RADIANS($AC$17)))*(-SIN(RADIANS($AC$16))))+(COS(RADIANS($AC$18))*COS(RADIANS($AC$16))))+$E45*(COS(RADIANS($AC$17))*(-SIN(RADIANS($AC$16))))</f>
        <v>50</v>
      </c>
    </row>
    <row r="46" spans="3:8" x14ac:dyDescent="0.35">
      <c r="C46">
        <v>75</v>
      </c>
      <c r="D46">
        <v>50</v>
      </c>
      <c r="E46">
        <v>25</v>
      </c>
      <c r="G46">
        <f>$C46*(COS(RADIANS($AC$17))*COS(RADIANS($AC$18)))+$D46*(-SIN(RADIANS($AC$18))*COS(RADIANS($AC$17)))+$E46*(SIN(RADIANS($AC$17)))</f>
        <v>75</v>
      </c>
      <c r="H46">
        <f>$C46*((COS(RADIANS($AC$18))*(-SIN(RADIANS($AC$17)))*(-SIN(RADIANS($AC$16))))+(SIN(RADIANS($AC$18))*COS(RADIANS($AC$16))))+$D46*((-SIN(RADIANS($AC$18))*(-SIN(RADIANS($AC$17)))*(-SIN(RADIANS($AC$16))))+(COS(RADIANS($AC$18))*COS(RADIANS($AC$16))))+$E46*(COS(RADIANS($AC$17))*(-SIN(RADIANS($AC$16))))</f>
        <v>50</v>
      </c>
    </row>
    <row r="48" spans="3:8" x14ac:dyDescent="0.35">
      <c r="C48">
        <v>150</v>
      </c>
      <c r="D48">
        <v>0</v>
      </c>
      <c r="E48">
        <v>100</v>
      </c>
      <c r="G48">
        <f t="shared" ref="G48:G53" si="7">$C48*(COS(RADIANS($AC$17))*COS(RADIANS($AC$18)))+$D48*(-SIN(RADIANS($AC$18))*COS(RADIANS($AC$17)))+$E48*(SIN(RADIANS($AC$17)))</f>
        <v>150</v>
      </c>
      <c r="H48">
        <f t="shared" ref="H48:H53" si="8">$C48*((COS(RADIANS($AC$18))*(-SIN(RADIANS($AC$17)))*(-SIN(RADIANS($AC$16))))+(SIN(RADIANS($AC$18))*COS(RADIANS($AC$16))))+$D48*((-SIN(RADIANS($AC$18))*(-SIN(RADIANS($AC$17)))*(-SIN(RADIANS($AC$16))))+(COS(RADIANS($AC$18))*COS(RADIANS($AC$16))))+$E48*(COS(RADIANS($AC$17))*(-SIN(RADIANS($AC$16))))</f>
        <v>0</v>
      </c>
    </row>
    <row r="49" spans="3:8" x14ac:dyDescent="0.35">
      <c r="C49">
        <v>150</v>
      </c>
      <c r="D49">
        <v>100</v>
      </c>
      <c r="E49">
        <v>125</v>
      </c>
      <c r="G49">
        <f t="shared" si="7"/>
        <v>150</v>
      </c>
      <c r="H49">
        <f t="shared" si="8"/>
        <v>100</v>
      </c>
    </row>
    <row r="50" spans="3:8" x14ac:dyDescent="0.35">
      <c r="C50">
        <v>200</v>
      </c>
      <c r="D50">
        <v>0</v>
      </c>
      <c r="E50">
        <v>150</v>
      </c>
      <c r="G50">
        <f t="shared" si="7"/>
        <v>200</v>
      </c>
      <c r="H50">
        <f t="shared" si="8"/>
        <v>0</v>
      </c>
    </row>
    <row r="51" spans="3:8" x14ac:dyDescent="0.35">
      <c r="C51">
        <v>200</v>
      </c>
      <c r="D51">
        <v>50</v>
      </c>
      <c r="E51">
        <v>137.5</v>
      </c>
      <c r="G51">
        <f t="shared" si="7"/>
        <v>200</v>
      </c>
      <c r="H51">
        <f t="shared" si="8"/>
        <v>50</v>
      </c>
    </row>
    <row r="52" spans="3:8" x14ac:dyDescent="0.35">
      <c r="C52">
        <v>200</v>
      </c>
      <c r="D52">
        <v>50</v>
      </c>
      <c r="E52">
        <v>112.5</v>
      </c>
      <c r="G52">
        <f t="shared" si="7"/>
        <v>200</v>
      </c>
      <c r="H52">
        <f t="shared" si="8"/>
        <v>50</v>
      </c>
    </row>
    <row r="53" spans="3:8" x14ac:dyDescent="0.35">
      <c r="C53">
        <v>200</v>
      </c>
      <c r="D53">
        <v>100</v>
      </c>
      <c r="E53">
        <v>125</v>
      </c>
      <c r="F53">
        <f>E53-12.5</f>
        <v>112.5</v>
      </c>
      <c r="G53">
        <f t="shared" si="7"/>
        <v>200</v>
      </c>
      <c r="H53">
        <f t="shared" si="8"/>
        <v>100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ScrollBar1">
          <controlPr defaultSize="0" autoLine="0" linkedCell="$AC$16" r:id="rId5">
            <anchor moveWithCells="1">
              <from>
                <xdr:col>29</xdr:col>
                <xdr:colOff>76200</xdr:colOff>
                <xdr:row>15</xdr:row>
                <xdr:rowOff>19050</xdr:rowOff>
              </from>
              <to>
                <xdr:col>32</xdr:col>
                <xdr:colOff>247650</xdr:colOff>
                <xdr:row>16</xdr:row>
                <xdr:rowOff>6350</xdr:rowOff>
              </to>
            </anchor>
          </controlPr>
        </control>
      </mc:Choice>
      <mc:Fallback>
        <control shapeId="5121" r:id="rId4" name="ScrollBar1"/>
      </mc:Fallback>
    </mc:AlternateContent>
    <mc:AlternateContent xmlns:mc="http://schemas.openxmlformats.org/markup-compatibility/2006">
      <mc:Choice Requires="x14">
        <control shapeId="5122" r:id="rId6" name="ScrollBar2">
          <controlPr defaultSize="0" autoLine="0" linkedCell="$AC$17" r:id="rId5">
            <anchor moveWithCells="1">
              <from>
                <xdr:col>29</xdr:col>
                <xdr:colOff>76200</xdr:colOff>
                <xdr:row>16</xdr:row>
                <xdr:rowOff>19050</xdr:rowOff>
              </from>
              <to>
                <xdr:col>32</xdr:col>
                <xdr:colOff>247650</xdr:colOff>
                <xdr:row>17</xdr:row>
                <xdr:rowOff>6350</xdr:rowOff>
              </to>
            </anchor>
          </controlPr>
        </control>
      </mc:Choice>
      <mc:Fallback>
        <control shapeId="5122" r:id="rId6" name="ScrollBar2"/>
      </mc:Fallback>
    </mc:AlternateContent>
    <mc:AlternateContent xmlns:mc="http://schemas.openxmlformats.org/markup-compatibility/2006">
      <mc:Choice Requires="x14">
        <control shapeId="5123" r:id="rId7" name="ScrollBar3">
          <controlPr defaultSize="0" autoLine="0" linkedCell="$AC$18" r:id="rId5">
            <anchor moveWithCells="1">
              <from>
                <xdr:col>29</xdr:col>
                <xdr:colOff>76200</xdr:colOff>
                <xdr:row>17</xdr:row>
                <xdr:rowOff>12700</xdr:rowOff>
              </from>
              <to>
                <xdr:col>32</xdr:col>
                <xdr:colOff>247650</xdr:colOff>
                <xdr:row>18</xdr:row>
                <xdr:rowOff>0</xdr:rowOff>
              </to>
            </anchor>
          </controlPr>
        </control>
      </mc:Choice>
      <mc:Fallback>
        <control shapeId="5123" r:id="rId7" name="ScrollBar3"/>
      </mc:Fallback>
    </mc:AlternateContent>
    <mc:AlternateContent xmlns:mc="http://schemas.openxmlformats.org/markup-compatibility/2006">
      <mc:Choice Requires="x14">
        <control shapeId="5124" r:id="rId8" name="Button 4">
          <controlPr defaultSize="0" print="0" autoFill="0" autoPict="0" macro="[0]!Sheet4.Start_Stop">
            <anchor moveWithCells="1" sizeWithCells="1">
              <from>
                <xdr:col>29</xdr:col>
                <xdr:colOff>571500</xdr:colOff>
                <xdr:row>18</xdr:row>
                <xdr:rowOff>57150</xdr:rowOff>
              </from>
              <to>
                <xdr:col>31</xdr:col>
                <xdr:colOff>133350</xdr:colOff>
                <xdr:row>19</xdr:row>
                <xdr:rowOff>133350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Terbilang</vt:lpstr>
      <vt:lpstr>SinCos</vt:lpstr>
      <vt:lpstr>Hypocloid</vt:lpstr>
      <vt:lpstr>3DRotate</vt:lpstr>
      <vt:lpstr>3DRotate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Irfan Chahyadi</dc:creator>
  <cp:lastModifiedBy>OTOMOTO User</cp:lastModifiedBy>
  <cp:lastPrinted>2015-11-23T14:05:44Z</cp:lastPrinted>
  <dcterms:created xsi:type="dcterms:W3CDTF">2015-11-21T10:34:00Z</dcterms:created>
  <dcterms:modified xsi:type="dcterms:W3CDTF">2020-01-18T05:48:56Z</dcterms:modified>
</cp:coreProperties>
</file>